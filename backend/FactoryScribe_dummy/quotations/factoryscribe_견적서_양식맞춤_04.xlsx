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AD5334DB-4701-4A84-B0F5-240BB96601A1}" xr6:coauthVersionLast="47" xr6:coauthVersionMax="47" xr10:uidLastSave="{00000000-0000-0000-0000-000000000000}"/>
  <bookViews>
    <workbookView xWindow="32265" yWindow="3465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M19" i="1"/>
  <c r="P19" i="1" s="1"/>
  <c r="M18" i="1"/>
  <c r="P18" i="1" s="1"/>
  <c r="M17" i="1"/>
  <c r="P17" i="1" s="1"/>
  <c r="M35" i="1" l="1"/>
  <c r="P20" i="1"/>
  <c r="P35" i="1" s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<sst xmlns="http://schemas.openxmlformats.org/spreadsheetml/2006/main" count="53" uniqueCount="53">
  <si>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QT-2026-004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</si>
  <si>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</si>
  <si>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</si>
  <si>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</si>
  <si>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</si>
  <si>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</si>
  <si>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</si>
  <si>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</si>
  <si>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</si>
  <si>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</si>
  <si>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</si>
  <si>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</si>
  <si>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</si>
  <si>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</si>
  <si>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</si>
  <si>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</si>
  <si>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오OO</t>
  </si>
  <si>
    <t>연 락 처</t>
  </si>
  <si>
    <t>02-0000-0000</t>
  </si>
  <si>
    <t>아래와 같이 견적합니다.</t>
  </si>
  <si>
    <t>견 적 명</t>
  </si>
  <si>
    <t>FactoryScribe 제조 자재 견적 4차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</si>
  <si>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</si>
  <si>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</si>
  <si>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</si>
  <si>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</si>
  <si>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</si>
  <si>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</si>
  <si>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</si>
  <si>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</si>
  <si>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</si>
  <si>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</si>
  <si>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</si>
  <si>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</si>
  <si>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</si>
  <si>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</si>
  <si>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</si>
  <si>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</si>
  <si>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</si>
  <si>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공압 실린더 (FS-EL-013)</t>
  </si>
  <si>
    <t>고내열-23</t>
  </si>
  <si>
    <t>터미널 블록 (FS-PK-015)</t>
  </si>
  <si>
    <t>고내열-25</t>
  </si>
  <si>
    <t>ABS 하우징 (FS-MC-017)</t>
  </si>
  <si>
    <t>고내열-27</t>
  </si>
  <si>
    <t>엔코더 케이블 (FS-EL-019)</t>
  </si>
  <si>
    <t>방수-29</t>
  </si>
  <si>
    <t>베어링 608ZZ (FS-EL-021)</t>
  </si>
  <si>
    <t>A형-31</t>
  </si>
  <si>
    <t>와셔 세트 (FS-MC-023)</t>
  </si>
  <si>
    <t>고내열-33</t>
  </si>
  <si>
    <t>합계</t>
  </si>
  <si>
    <t>동남테크 귀하
2026년 07월 04일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</si>
</sst>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4989754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4989754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10</v>
      </c>
      <c r="I17" s="21"/>
      <c r="J17" s="20">
        <v>8240</v>
      </c>
      <c r="K17" s="21"/>
      <c r="L17" s="22"/>
      <c r="M17" s="20">
        <f t="shared" ref="M17:M34" si="0">IF(OR(H17="",J17=""),"",H17*J17)</f>
        <v>82400</v>
      </c>
      <c r="N17" s="21"/>
      <c r="O17" s="22"/>
      <c r="P17" s="12">
        <f t="shared" ref="P17:P34" si="1">IF(OR(H17="",J17=""),"",M17*0.1)</f>
        <v>8240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8</v>
      </c>
      <c r="I18" s="21"/>
      <c r="J18" s="20">
        <v>68750</v>
      </c>
      <c r="K18" s="21"/>
      <c r="L18" s="22"/>
      <c r="M18" s="20">
        <f t="shared" si="0"/>
        <v>550000</v>
      </c>
      <c r="N18" s="21"/>
      <c r="O18" s="22"/>
      <c r="P18" s="12">
        <f t="shared" si="1"/>
        <v>55000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22</v>
      </c>
      <c r="I19" s="21"/>
      <c r="J19" s="20">
        <v>2110</v>
      </c>
      <c r="K19" s="21"/>
      <c r="L19" s="22"/>
      <c r="M19" s="20">
        <f t="shared" si="0"/>
        <v>46420</v>
      </c>
      <c r="N19" s="21"/>
      <c r="O19" s="22"/>
      <c r="P19" s="12">
        <f t="shared" si="1"/>
        <v>4642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11</v>
      </c>
      <c r="I20" s="21"/>
      <c r="J20" s="20">
        <v>93560</v>
      </c>
      <c r="K20" s="21"/>
      <c r="L20" s="22"/>
      <c r="M20" s="20">
        <f t="shared" si="0"/>
        <v>1029160</v>
      </c>
      <c r="N20" s="21"/>
      <c r="O20" s="22"/>
      <c r="P20" s="12">
        <f t="shared" si="1"/>
        <v>102916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18</v>
      </c>
      <c r="I21" s="21"/>
      <c r="J21" s="20">
        <v>80590</v>
      </c>
      <c r="K21" s="21"/>
      <c r="L21" s="22"/>
      <c r="M21" s="20">
        <f t="shared" si="0"/>
        <v>1450620</v>
      </c>
      <c r="N21" s="21"/>
      <c r="O21" s="22"/>
      <c r="P21" s="12">
        <f t="shared" si="1"/>
        <v>145062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27</v>
      </c>
      <c r="I22" s="21"/>
      <c r="J22" s="20">
        <v>51020</v>
      </c>
      <c r="K22" s="21"/>
      <c r="L22" s="22"/>
      <c r="M22" s="20">
        <f t="shared" si="0"/>
        <v>1377540</v>
      </c>
      <c r="N22" s="21"/>
      <c r="O22" s="22"/>
      <c r="P22" s="12">
        <f t="shared" si="1"/>
        <v>137754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96</v>
      </c>
      <c r="I35" s="15"/>
      <c r="J35" s="23"/>
      <c r="K35" s="15"/>
      <c r="L35" s="19"/>
      <c r="M35" s="23">
        <f>IF(SUM(M17:O34)=0,"",SUM(M17:O34))</f>
        <v>4536140</v>
      </c>
      <c r="N35" s="15"/>
      <c r="O35" s="19"/>
      <c r="P35" s="13">
        <f>IF(SUM(P17:P34)=0,"",SUM(P17:P34))</f>
        <v>453614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2026-07-01T08:00:48Z</dcterms:modified>
</cp:coreProperties>
</file>