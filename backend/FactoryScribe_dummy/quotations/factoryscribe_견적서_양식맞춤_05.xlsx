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FM-Lab10\Desktop\FactoryScribe_dummy\quotations\"/>
    </mc:Choice>
  </mc:AlternateContent>
  <xr:revisionPtr revIDLastSave="0" documentId="13_ncr:1_{D5A65995-82E3-4BA4-AF4C-C44E209B3B95}" xr6:coauthVersionLast="47" xr6:coauthVersionMax="47" xr10:uidLastSave="{00000000-0000-0000-0000-000000000000}"/>
  <bookViews>
    <workbookView xWindow="32610" yWindow="3810" windowWidth="21585" windowHeight="11295" xr2:uid="{00000000-000D-0000-FFFF-FFFF00000000}"/>
  </bookViews>
  <sheets>
    <sheet name="견적서" sheetId="1" r:id="rId1"/>
  </sheets>
  <definedNames>
    <definedName name="_xlnm.Print_Area" localSheetId="0">견적서!$B$2:$P$35</definedName>
    <definedName name="예스폼">견적서!$A$1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5" i="1" l="1"/>
  <c r="P34" i="1"/>
  <c r="M34" i="1"/>
  <c r="P33" i="1"/>
  <c r="M33" i="1"/>
  <c r="P32" i="1"/>
  <c r="M32" i="1"/>
  <c r="P31" i="1"/>
  <c r="M31" i="1"/>
  <c r="P30" i="1"/>
  <c r="M30" i="1"/>
  <c r="P29" i="1"/>
  <c r="M29" i="1"/>
  <c r="P28" i="1"/>
  <c r="M28" i="1"/>
  <c r="P27" i="1"/>
  <c r="M27" i="1"/>
  <c r="P26" i="1"/>
  <c r="M26" i="1"/>
  <c r="P25" i="1"/>
  <c r="M25" i="1"/>
  <c r="P24" i="1"/>
  <c r="M24" i="1"/>
  <c r="P23" i="1"/>
  <c r="M23" i="1"/>
  <c r="M22" i="1"/>
  <c r="P22" i="1" s="1"/>
  <c r="M21" i="1"/>
  <c r="P21" i="1" s="1"/>
  <c r="M20" i="1"/>
  <c r="P20" i="1" s="1"/>
  <c r="M19" i="1"/>
  <c r="P19" i="1" s="1"/>
  <c r="M18" i="1"/>
  <c r="P18" i="1" s="1"/>
  <c r="M17" i="1"/>
  <c r="P17" i="1" s="1"/>
  <c r="P35" i="1" l="1"/>
  <c r="M35" i="1"/>
  <c r="K13" i="1" l="1"/>
  <c r="D13" i="1" s="1"/>
</calcChain>
</file>

<file path=xl/sharedStrings.xml><?xml version="1.0" encoding="utf-8"?>
<sst xmlns="http://schemas.openxmlformats.org/spreadsheetml/2006/main" count="53" uniqueCount="53">
  <si>
    <t>견적번호 : QT-2026-005 호</t>
  </si>
  <si>
    <t>공 급 자</t>
  </si>
  <si>
    <t>사업자번호</t>
  </si>
  <si>
    <t>123-45-67890</t>
  </si>
  <si>
    <t>견적서</t>
  </si>
  <si>
    <t>상     호</t>
  </si>
  <si>
    <t>넥스트바인</t>
  </si>
  <si>
    <t>대 표 자</t>
  </si>
  <si>
    <t>대표자 (인)</t>
  </si>
  <si>
    <t>소 재 지</t>
  </si>
  <si>
    <t>서울특별시 강남구 테헤란로 000</t>
  </si>
  <si>
    <t>업     태</t>
  </si>
  <si>
    <t>서비스/제조</t>
  </si>
  <si>
    <t>종     목</t>
  </si>
  <si>
    <t>AI 제조 문서 플랫폼</t>
  </si>
  <si>
    <t>담 당 자</t>
  </si>
  <si>
    <t>서OO</t>
  </si>
  <si>
    <t>연 락 처</t>
  </si>
  <si>
    <t>02-0000-0000</t>
  </si>
  <si>
    <t>아래와 같이 견적합니다.</t>
  </si>
  <si>
    <t>견 적 명</t>
  </si>
  <si>
    <t>FactoryScribe 제조 자재 견적 5차</t>
  </si>
  <si>
    <t>납품기한</t>
  </si>
  <si>
    <t xml:space="preserve"> 계약일로부터 14일 이내</t>
  </si>
  <si>
    <t>대금 지불방식</t>
  </si>
  <si>
    <t xml:space="preserve"> 월말 마감 후 30일 현금 결제</t>
  </si>
  <si>
    <t>견적 유효기간</t>
  </si>
  <si>
    <t xml:space="preserve"> 견적일로부터 14일간</t>
  </si>
  <si>
    <t>합계금액
(공급가액+세액)</t>
  </si>
  <si>
    <t>일금</t>
  </si>
  <si>
    <t>원정</t>
  </si>
  <si>
    <t>(\</t>
  </si>
  <si>
    <t>)</t>
  </si>
  <si>
    <t>품명</t>
  </si>
  <si>
    <t>규격/사양</t>
  </si>
  <si>
    <t>수량</t>
  </si>
  <si>
    <t>단가</t>
  </si>
  <si>
    <t>공급가액</t>
  </si>
  <si>
    <t>세액</t>
  </si>
  <si>
    <t>ABS 하우징 (FS-MC-017)</t>
  </si>
  <si>
    <t>고내열-27</t>
  </si>
  <si>
    <t>엔코더 케이블 (FS-EL-019)</t>
  </si>
  <si>
    <t>방수-29</t>
  </si>
  <si>
    <t>베어링 608ZZ (FS-EL-021)</t>
  </si>
  <si>
    <t>A형-31</t>
  </si>
  <si>
    <t>와셔 세트 (FS-MC-023)</t>
  </si>
  <si>
    <t>고내열-33</t>
  </si>
  <si>
    <t>메인 프레임 (FS-RM-025)</t>
  </si>
  <si>
    <t>방수-35</t>
  </si>
  <si>
    <t>커넥터 12핀 (FS-EL-027)</t>
  </si>
  <si>
    <t>표준-37</t>
  </si>
  <si>
    <t>합계</t>
  </si>
  <si>
    <t>비전로보틱스 귀하
2026년 07월 05일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</si>
</sst>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 "/>
    <numFmt numFmtId="177" formatCode="[DBNum4][$-412]General"/>
    <numFmt numFmtId="178" formatCode="#,##0_);[Red]\(#,##0\)"/>
  </numFmts>
  <fonts count="7" x14ac:knownFonts="1">
    <font>
      <sz val="11"/>
      <name val="굴림체"/>
      <family val="3"/>
      <charset val="129"/>
    </font>
    <font>
      <sz val="8"/>
      <name val="굴림체"/>
      <family val="3"/>
      <charset val="129"/>
    </font>
    <font>
      <sz val="9"/>
      <name val="맑은 고딕"/>
      <family val="3"/>
      <charset val="129"/>
    </font>
    <font>
      <sz val="9"/>
      <color indexed="9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2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35">
    <border>
      <left/>
      <right/>
      <top/>
      <bottom/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thin">
        <color auto="1"/>
      </top>
      <bottom style="hair">
        <color rgb="FFA0A0A0"/>
      </bottom>
      <diagonal/>
    </border>
    <border>
      <left style="thin">
        <color auto="1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/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rgb="FFA0A0A0"/>
      </bottom>
      <diagonal/>
    </border>
    <border>
      <left/>
      <right/>
      <top style="thin">
        <color auto="1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hair">
        <color rgb="FFA0A0A0"/>
      </bottom>
      <diagonal/>
    </border>
    <border>
      <left/>
      <right/>
      <top style="hair">
        <color rgb="FFA0A0A0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thin">
        <color auto="1"/>
      </bottom>
      <diagonal/>
    </border>
    <border>
      <left/>
      <right/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rgb="FFA0A0A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rgb="FFA0A0A0"/>
      </left>
      <right/>
      <top/>
      <bottom style="hair">
        <color rgb="FFA0A0A0"/>
      </bottom>
      <diagonal/>
    </border>
    <border>
      <left/>
      <right/>
      <top/>
      <bottom style="hair">
        <color rgb="FFA0A0A0"/>
      </bottom>
      <diagonal/>
    </border>
    <border>
      <left/>
      <right/>
      <top style="hair">
        <color rgb="FFA0A0A0"/>
      </top>
      <bottom/>
      <diagonal/>
    </border>
    <border>
      <left style="hair">
        <color rgb="FFA0A0A0"/>
      </left>
      <right/>
      <top style="hair">
        <color rgb="FFA0A0A0"/>
      </top>
      <bottom/>
      <diagonal/>
    </border>
    <border>
      <left/>
      <right style="thin">
        <color auto="1"/>
      </right>
      <top style="hair">
        <color rgb="FFA0A0A0"/>
      </top>
      <bottom/>
      <diagonal/>
    </border>
    <border>
      <left style="hair">
        <color rgb="FFA0A0A0"/>
      </left>
      <right/>
      <top/>
      <bottom/>
      <diagonal/>
    </border>
    <border>
      <left style="hair">
        <color rgb="FFA0A0A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rgb="FFA0A0A0"/>
      </right>
      <top/>
      <bottom/>
      <diagonal/>
    </border>
    <border>
      <left style="thin">
        <color auto="1"/>
      </left>
      <right style="hair">
        <color rgb="FFA0A0A0"/>
      </right>
      <top/>
      <bottom style="hair">
        <color rgb="FFA0A0A0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61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0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7" xfId="0" applyFont="1" applyBorder="1" applyAlignment="1">
      <alignment vertical="center"/>
    </xf>
    <xf numFmtId="176" fontId="2" fillId="0" borderId="7" xfId="0" applyNumberFormat="1" applyFont="1" applyBorder="1" applyAlignment="1">
      <alignment horizontal="right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0" fontId="0" fillId="0" borderId="20" xfId="0" applyBorder="1" applyAlignment="1"/>
    <xf numFmtId="41" fontId="2" fillId="0" borderId="25" xfId="0" applyNumberFormat="1" applyFont="1" applyBorder="1" applyAlignment="1">
      <alignment horizontal="left" vertical="center"/>
    </xf>
    <xf numFmtId="0" fontId="0" fillId="0" borderId="26" xfId="0" applyBorder="1" applyAlignment="1"/>
    <xf numFmtId="0" fontId="2" fillId="0" borderId="8" xfId="0" applyFont="1" applyBorder="1" applyAlignment="1">
      <alignment horizontal="center" vertical="center"/>
    </xf>
    <xf numFmtId="0" fontId="0" fillId="0" borderId="14" xfId="0" applyBorder="1" applyAlignment="1"/>
    <xf numFmtId="176" fontId="2" fillId="0" borderId="1" xfId="0" applyNumberFormat="1" applyFont="1" applyBorder="1" applyAlignment="1">
      <alignment horizontal="right" vertical="center"/>
    </xf>
    <xf numFmtId="0" fontId="0" fillId="0" borderId="18" xfId="0" applyBorder="1" applyAlignment="1"/>
    <xf numFmtId="0" fontId="0" fillId="0" borderId="11" xfId="0" applyBorder="1" applyAlignment="1"/>
    <xf numFmtId="176" fontId="2" fillId="0" borderId="8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6" xfId="0" applyBorder="1" applyAlignment="1"/>
    <xf numFmtId="0" fontId="0" fillId="0" borderId="13" xfId="0" applyBorder="1" applyAlignment="1"/>
    <xf numFmtId="41" fontId="2" fillId="0" borderId="17" xfId="0" applyNumberFormat="1" applyFont="1" applyBorder="1" applyAlignment="1">
      <alignment horizontal="left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24" xfId="0" applyBorder="1" applyAlignment="1"/>
    <xf numFmtId="0" fontId="2" fillId="2" borderId="6" xfId="0" applyFont="1" applyFill="1" applyBorder="1" applyAlignment="1">
      <alignment horizontal="center" vertical="center" wrapText="1"/>
    </xf>
    <xf numFmtId="0" fontId="0" fillId="0" borderId="33" xfId="0" applyBorder="1" applyAlignment="1"/>
    <xf numFmtId="0" fontId="0" fillId="0" borderId="34" xfId="0" applyBorder="1" applyAlignment="1"/>
    <xf numFmtId="0" fontId="2" fillId="0" borderId="1" xfId="0" applyFont="1" applyBorder="1" applyAlignment="1">
      <alignment horizontal="left" vertical="center"/>
    </xf>
    <xf numFmtId="41" fontId="2" fillId="0" borderId="4" xfId="0" applyNumberFormat="1" applyFont="1" applyBorder="1" applyAlignment="1">
      <alignment vertical="center"/>
    </xf>
    <xf numFmtId="176" fontId="2" fillId="0" borderId="10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27" xfId="0" applyFont="1" applyBorder="1" applyAlignment="1">
      <alignment vertical="center"/>
    </xf>
    <xf numFmtId="0" fontId="0" fillId="0" borderId="27" xfId="0" applyBorder="1" applyAlignment="1"/>
    <xf numFmtId="0" fontId="2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/>
    <xf numFmtId="0" fontId="2" fillId="2" borderId="19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41" fontId="2" fillId="0" borderId="10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178" fontId="2" fillId="0" borderId="26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textRotation="255"/>
    </xf>
    <xf numFmtId="0" fontId="6" fillId="0" borderId="0" xfId="1" applyFont="1" applyAlignment="1">
      <alignment horizontal="center" vertical="center"/>
    </xf>
    <xf numFmtId="177" fontId="2" fillId="0" borderId="26" xfId="0" applyNumberFormat="1" applyFont="1" applyBorder="1" applyAlignment="1">
      <alignment horizontal="right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0" fillId="0" borderId="29" xfId="0" applyBorder="1" applyAlignment="1"/>
    <xf numFmtId="0" fontId="2" fillId="0" borderId="32" xfId="0" applyFont="1" applyBorder="1" applyAlignment="1">
      <alignment vertical="center"/>
    </xf>
    <xf numFmtId="0" fontId="0" fillId="0" borderId="32" xfId="0" applyBorder="1" applyAlignment="1"/>
    <xf numFmtId="0" fontId="2" fillId="0" borderId="22" xfId="0" applyFont="1" applyBorder="1" applyAlignment="1">
      <alignment vertical="center"/>
    </xf>
    <xf numFmtId="0" fontId="0" fillId="0" borderId="22" xfId="0" applyBorder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34A06"/>
      <rgbColor rgb="0000FF00"/>
      <rgbColor rgb="00CFFBFB"/>
      <rgbColor rgb="00A0A0A0"/>
      <rgbColor rgb="00F8EAE0"/>
      <rgbColor rgb="0000FFFF"/>
      <rgbColor rgb="00F3F3F3"/>
      <rgbColor rgb="00FCEEF4"/>
      <rgbColor rgb="000A9AA6"/>
      <rgbColor rgb="00D4EEF3"/>
      <rgbColor rgb="00800080"/>
      <rgbColor rgb="00EDF0FA"/>
      <rgbColor rgb="00C0C0C0"/>
      <rgbColor rgb="00EFF5D5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A0A0A0"/>
      <rgbColor rgb="00E5FAEC"/>
      <rgbColor rgb="00059835"/>
      <rgbColor rgb="00E8F9D1"/>
      <rgbColor rgb="00FCEFE8"/>
      <rgbColor rgb="00969696"/>
      <rgbColor rgb="00425FDA"/>
      <rgbColor rgb="00339966"/>
      <rgbColor rgb="00DA4288"/>
      <rgbColor rgb="0003A2CE"/>
      <rgbColor rgb="0066A810"/>
      <rgbColor rgb="00993366"/>
      <rgbColor rgb="00E76012"/>
      <rgbColor rgb="0086A224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eskiness.tisto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B1:FG35"/>
  <sheetViews>
    <sheetView showGridLines="0" tabSelected="1" zoomScaleNormal="100" workbookViewId="0">
      <selection activeCell="B5" sqref="B5:E6"/>
    </sheetView>
  </sheetViews>
  <sheetFormatPr defaultColWidth="3.625" defaultRowHeight="18" customHeight="1" x14ac:dyDescent="0.15"/>
  <cols>
    <col min="1" max="1" width="3.625" style="10" customWidth="1"/>
    <col min="2" max="2" width="15.875" style="10" customWidth="1"/>
    <col min="3" max="5" width="5.5" style="10" customWidth="1"/>
    <col min="6" max="6" width="4.5" style="10" customWidth="1"/>
    <col min="7" max="7" width="8.25" style="10" customWidth="1"/>
    <col min="8" max="8" width="2.75" style="10" customWidth="1"/>
    <col min="9" max="9" width="5.5" style="10" customWidth="1"/>
    <col min="10" max="10" width="2.75" style="10" customWidth="1"/>
    <col min="11" max="11" width="5.5" style="10" customWidth="1"/>
    <col min="12" max="12" width="2.75" style="10" customWidth="1"/>
    <col min="13" max="13" width="5.5" style="10" customWidth="1"/>
    <col min="14" max="15" width="2.75" style="10" customWidth="1"/>
    <col min="16" max="16" width="11" style="10" customWidth="1"/>
    <col min="17" max="22" width="2.75" style="10" customWidth="1"/>
    <col min="23" max="23" width="3.625" style="10" customWidth="1"/>
    <col min="24" max="16384" width="3.625" style="10"/>
  </cols>
  <sheetData>
    <row r="1" spans="2:163" ht="18" customHeight="1" x14ac:dyDescent="0.15">
      <c r="FG1" s="1"/>
    </row>
    <row r="2" spans="2:163" ht="22.5" customHeight="1" x14ac:dyDescent="0.15">
      <c r="B2" s="50" t="s">
        <v>0</v>
      </c>
      <c r="C2" s="44"/>
      <c r="D2" s="44"/>
      <c r="E2" s="44"/>
      <c r="F2" s="51" t="s">
        <v>1</v>
      </c>
      <c r="G2" s="24" t="s">
        <v>2</v>
      </c>
      <c r="H2" s="26"/>
      <c r="I2" s="24" t="s">
        <v>3</v>
      </c>
      <c r="J2" s="25"/>
      <c r="K2" s="25"/>
      <c r="L2" s="25"/>
      <c r="M2" s="25"/>
      <c r="N2" s="25"/>
      <c r="O2" s="25"/>
      <c r="P2" s="26"/>
    </row>
    <row r="3" spans="2:163" ht="22.5" customHeight="1" x14ac:dyDescent="0.15">
      <c r="B3" s="52" t="s">
        <v>4</v>
      </c>
      <c r="C3" s="44"/>
      <c r="D3" s="44"/>
      <c r="E3" s="44"/>
      <c r="F3" s="31"/>
      <c r="G3" s="46" t="s">
        <v>5</v>
      </c>
      <c r="H3" s="22"/>
      <c r="I3" s="46" t="s">
        <v>6</v>
      </c>
      <c r="J3" s="21"/>
      <c r="K3" s="22"/>
      <c r="L3" s="46" t="s">
        <v>7</v>
      </c>
      <c r="M3" s="21"/>
      <c r="N3" s="22"/>
      <c r="O3" s="36" t="s">
        <v>8</v>
      </c>
      <c r="P3" s="22"/>
    </row>
    <row r="4" spans="2:163" ht="22.5" customHeight="1" x14ac:dyDescent="0.15">
      <c r="B4" s="44"/>
      <c r="C4" s="44"/>
      <c r="D4" s="44"/>
      <c r="E4" s="44"/>
      <c r="F4" s="31"/>
      <c r="G4" s="46" t="s">
        <v>9</v>
      </c>
      <c r="H4" s="22"/>
      <c r="I4" s="33" t="s">
        <v>10</v>
      </c>
      <c r="J4" s="21"/>
      <c r="K4" s="21"/>
      <c r="L4" s="21"/>
      <c r="M4" s="21"/>
      <c r="N4" s="21"/>
      <c r="O4" s="21"/>
      <c r="P4" s="22"/>
    </row>
    <row r="5" spans="2:163" ht="22.5" customHeight="1" x14ac:dyDescent="0.15">
      <c r="B5" s="43" t="s">
        <v>52</v>
      </c>
      <c r="C5" s="44"/>
      <c r="D5" s="44"/>
      <c r="E5" s="44"/>
      <c r="F5" s="31"/>
      <c r="G5" s="46" t="s">
        <v>11</v>
      </c>
      <c r="H5" s="22"/>
      <c r="I5" s="46" t="s">
        <v>12</v>
      </c>
      <c r="J5" s="21"/>
      <c r="K5" s="22"/>
      <c r="L5" s="46" t="s">
        <v>13</v>
      </c>
      <c r="M5" s="21"/>
      <c r="N5" s="22"/>
      <c r="O5" s="46" t="s">
        <v>14</v>
      </c>
      <c r="P5" s="22"/>
    </row>
    <row r="6" spans="2:163" ht="22.5" customHeight="1" x14ac:dyDescent="0.15">
      <c r="B6" s="44"/>
      <c r="C6" s="44"/>
      <c r="D6" s="44"/>
      <c r="E6" s="44"/>
      <c r="F6" s="32"/>
      <c r="G6" s="18" t="s">
        <v>15</v>
      </c>
      <c r="H6" s="19"/>
      <c r="I6" s="18" t="s">
        <v>16</v>
      </c>
      <c r="J6" s="15"/>
      <c r="K6" s="19"/>
      <c r="L6" s="18" t="s">
        <v>17</v>
      </c>
      <c r="M6" s="15"/>
      <c r="N6" s="19"/>
      <c r="O6" s="18" t="s">
        <v>18</v>
      </c>
      <c r="P6" s="19"/>
    </row>
    <row r="7" spans="2:163" ht="23.25" customHeight="1" x14ac:dyDescent="0.15">
      <c r="B7" s="40" t="s">
        <v>19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spans="2:163" ht="22.5" customHeight="1" x14ac:dyDescent="0.15">
      <c r="B8" s="6" t="s">
        <v>20</v>
      </c>
      <c r="C8" s="34" t="s">
        <v>21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</row>
    <row r="9" spans="2:163" ht="22.5" customHeight="1" x14ac:dyDescent="0.15">
      <c r="B9" s="7" t="s">
        <v>22</v>
      </c>
      <c r="C9" s="47" t="s">
        <v>23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</row>
    <row r="10" spans="2:163" ht="22.5" customHeight="1" x14ac:dyDescent="0.15">
      <c r="B10" s="7" t="s">
        <v>24</v>
      </c>
      <c r="C10" s="47" t="s">
        <v>25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</row>
    <row r="11" spans="2:163" ht="22.5" customHeight="1" x14ac:dyDescent="0.15">
      <c r="B11" s="7" t="s">
        <v>26</v>
      </c>
      <c r="C11" s="47" t="s">
        <v>27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</row>
    <row r="12" spans="2:163" ht="6.95" customHeight="1" x14ac:dyDescent="0.15">
      <c r="B12" s="30" t="s">
        <v>28</v>
      </c>
      <c r="C12" s="2"/>
      <c r="D12" s="37"/>
      <c r="E12" s="38"/>
      <c r="F12" s="38"/>
      <c r="G12" s="38"/>
      <c r="H12" s="38"/>
      <c r="I12" s="11"/>
      <c r="J12" s="11"/>
      <c r="K12" s="37"/>
      <c r="L12" s="38"/>
      <c r="M12" s="38"/>
      <c r="N12" s="11"/>
      <c r="O12" s="55"/>
      <c r="P12" s="56"/>
    </row>
    <row r="13" spans="2:163" ht="15.95" customHeight="1" x14ac:dyDescent="0.15">
      <c r="B13" s="31"/>
      <c r="C13" s="4" t="s">
        <v>29</v>
      </c>
      <c r="D13" s="53">
        <f>K13</f>
        <v>9399643</v>
      </c>
      <c r="E13" s="17"/>
      <c r="F13" s="17"/>
      <c r="G13" s="17"/>
      <c r="H13" s="17"/>
      <c r="I13" s="10" t="s">
        <v>30</v>
      </c>
      <c r="J13" s="5" t="s">
        <v>31</v>
      </c>
      <c r="K13" s="49">
        <f>IFERROR(M35+P35,"")</f>
        <v>9399643</v>
      </c>
      <c r="L13" s="17"/>
      <c r="M13" s="17"/>
      <c r="N13" s="10" t="s">
        <v>32</v>
      </c>
      <c r="O13" s="59"/>
      <c r="P13" s="60"/>
    </row>
    <row r="14" spans="2:163" ht="6.95" customHeight="1" x14ac:dyDescent="0.15">
      <c r="B14" s="32"/>
      <c r="C14" s="3"/>
      <c r="D14" s="40"/>
      <c r="E14" s="41"/>
      <c r="F14" s="41"/>
      <c r="G14" s="41"/>
      <c r="H14" s="41"/>
      <c r="I14" s="9"/>
      <c r="J14" s="9"/>
      <c r="K14" s="40"/>
      <c r="L14" s="41"/>
      <c r="M14" s="41"/>
      <c r="N14" s="9"/>
      <c r="O14" s="57"/>
      <c r="P14" s="58"/>
    </row>
    <row r="15" spans="2:163" ht="15.95" customHeight="1" x14ac:dyDescent="0.15">
      <c r="B15" s="40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spans="2:163" ht="22.5" customHeight="1" x14ac:dyDescent="0.15">
      <c r="B16" s="54" t="s">
        <v>33</v>
      </c>
      <c r="C16" s="25"/>
      <c r="D16" s="25"/>
      <c r="E16" s="28" t="s">
        <v>34</v>
      </c>
      <c r="F16" s="29"/>
      <c r="G16" s="29"/>
      <c r="H16" s="48" t="s">
        <v>35</v>
      </c>
      <c r="I16" s="25"/>
      <c r="J16" s="39" t="s">
        <v>36</v>
      </c>
      <c r="K16" s="25"/>
      <c r="L16" s="26"/>
      <c r="M16" s="39" t="s">
        <v>37</v>
      </c>
      <c r="N16" s="25"/>
      <c r="O16" s="26"/>
      <c r="P16" s="8" t="s">
        <v>38</v>
      </c>
    </row>
    <row r="17" spans="2:16" ht="22.5" customHeight="1" x14ac:dyDescent="0.15">
      <c r="B17" s="27" t="s">
        <v>39</v>
      </c>
      <c r="C17" s="21"/>
      <c r="D17" s="21"/>
      <c r="E17" s="45" t="s">
        <v>40</v>
      </c>
      <c r="F17" s="21"/>
      <c r="G17" s="21"/>
      <c r="H17" s="35">
        <v>12</v>
      </c>
      <c r="I17" s="21"/>
      <c r="J17" s="20">
        <v>2060</v>
      </c>
      <c r="K17" s="21"/>
      <c r="L17" s="22"/>
      <c r="M17" s="20">
        <f t="shared" ref="M17:M34" si="0">IF(OR(H17="",J17=""),"",H17*J17)</f>
        <v>24720</v>
      </c>
      <c r="N17" s="21"/>
      <c r="O17" s="22"/>
      <c r="P17" s="12">
        <f t="shared" ref="P17:P34" si="1">IF(OR(H17="",J17=""),"",M17*0.1)</f>
        <v>2472</v>
      </c>
    </row>
    <row r="18" spans="2:16" ht="22.5" customHeight="1" x14ac:dyDescent="0.15">
      <c r="B18" s="27" t="s">
        <v>41</v>
      </c>
      <c r="C18" s="21"/>
      <c r="D18" s="21"/>
      <c r="E18" s="16" t="s">
        <v>42</v>
      </c>
      <c r="F18" s="17"/>
      <c r="G18" s="17"/>
      <c r="H18" s="35">
        <v>15</v>
      </c>
      <c r="I18" s="21"/>
      <c r="J18" s="20">
        <v>91240</v>
      </c>
      <c r="K18" s="21"/>
      <c r="L18" s="22"/>
      <c r="M18" s="20">
        <f t="shared" si="0"/>
        <v>1368600</v>
      </c>
      <c r="N18" s="21"/>
      <c r="O18" s="22"/>
      <c r="P18" s="12">
        <f t="shared" si="1"/>
        <v>136860</v>
      </c>
    </row>
    <row r="19" spans="2:16" ht="22.5" customHeight="1" x14ac:dyDescent="0.15">
      <c r="B19" s="27" t="s">
        <v>43</v>
      </c>
      <c r="C19" s="21"/>
      <c r="D19" s="21"/>
      <c r="E19" s="16" t="s">
        <v>44</v>
      </c>
      <c r="F19" s="17"/>
      <c r="G19" s="17"/>
      <c r="H19" s="35">
        <v>23</v>
      </c>
      <c r="I19" s="21"/>
      <c r="J19" s="20">
        <v>78640</v>
      </c>
      <c r="K19" s="21"/>
      <c r="L19" s="22"/>
      <c r="M19" s="20">
        <f t="shared" si="0"/>
        <v>1808720</v>
      </c>
      <c r="N19" s="21"/>
      <c r="O19" s="22"/>
      <c r="P19" s="12">
        <f t="shared" si="1"/>
        <v>180872</v>
      </c>
    </row>
    <row r="20" spans="2:16" ht="22.5" customHeight="1" x14ac:dyDescent="0.15">
      <c r="B20" s="27" t="s">
        <v>45</v>
      </c>
      <c r="C20" s="21"/>
      <c r="D20" s="21"/>
      <c r="E20" s="16" t="s">
        <v>46</v>
      </c>
      <c r="F20" s="17"/>
      <c r="G20" s="17"/>
      <c r="H20" s="35">
        <v>15</v>
      </c>
      <c r="I20" s="21"/>
      <c r="J20" s="20">
        <v>49810</v>
      </c>
      <c r="K20" s="21"/>
      <c r="L20" s="22"/>
      <c r="M20" s="20">
        <f t="shared" si="0"/>
        <v>747150</v>
      </c>
      <c r="N20" s="21"/>
      <c r="O20" s="22"/>
      <c r="P20" s="12">
        <f t="shared" si="1"/>
        <v>74715</v>
      </c>
    </row>
    <row r="21" spans="2:16" ht="22.5" customHeight="1" x14ac:dyDescent="0.15">
      <c r="B21" s="27" t="s">
        <v>47</v>
      </c>
      <c r="C21" s="21"/>
      <c r="D21" s="21"/>
      <c r="E21" s="16" t="s">
        <v>48</v>
      </c>
      <c r="F21" s="17"/>
      <c r="G21" s="17"/>
      <c r="H21" s="35">
        <v>32</v>
      </c>
      <c r="I21" s="21"/>
      <c r="J21" s="20">
        <v>76620</v>
      </c>
      <c r="K21" s="21"/>
      <c r="L21" s="22"/>
      <c r="M21" s="20">
        <f t="shared" si="0"/>
        <v>2451840</v>
      </c>
      <c r="N21" s="21"/>
      <c r="O21" s="22"/>
      <c r="P21" s="12">
        <f t="shared" si="1"/>
        <v>245184</v>
      </c>
    </row>
    <row r="22" spans="2:16" ht="22.5" customHeight="1" x14ac:dyDescent="0.15">
      <c r="B22" s="27" t="s">
        <v>49</v>
      </c>
      <c r="C22" s="21"/>
      <c r="D22" s="21"/>
      <c r="E22" s="16" t="s">
        <v>50</v>
      </c>
      <c r="F22" s="17"/>
      <c r="G22" s="17"/>
      <c r="H22" s="35">
        <v>35</v>
      </c>
      <c r="I22" s="21"/>
      <c r="J22" s="20">
        <v>61260</v>
      </c>
      <c r="K22" s="21"/>
      <c r="L22" s="22"/>
      <c r="M22" s="20">
        <f t="shared" si="0"/>
        <v>2144100</v>
      </c>
      <c r="N22" s="21"/>
      <c r="O22" s="22"/>
      <c r="P22" s="12">
        <f t="shared" si="1"/>
        <v>214410</v>
      </c>
    </row>
    <row r="23" spans="2:16" ht="22.5" customHeight="1" x14ac:dyDescent="0.15">
      <c r="B23" s="27"/>
      <c r="C23" s="21"/>
      <c r="D23" s="21"/>
      <c r="E23" s="16"/>
      <c r="F23" s="17"/>
      <c r="G23" s="17"/>
      <c r="H23" s="35"/>
      <c r="I23" s="21"/>
      <c r="J23" s="20"/>
      <c r="K23" s="21"/>
      <c r="L23" s="22"/>
      <c r="M23" s="20" t="str">
        <f t="shared" si="0"/>
        <v/>
      </c>
      <c r="N23" s="21"/>
      <c r="O23" s="22"/>
      <c r="P23" s="12" t="str">
        <f t="shared" si="1"/>
        <v/>
      </c>
    </row>
    <row r="24" spans="2:16" ht="22.5" customHeight="1" x14ac:dyDescent="0.15">
      <c r="B24" s="27"/>
      <c r="C24" s="21"/>
      <c r="D24" s="21"/>
      <c r="E24" s="16"/>
      <c r="F24" s="17"/>
      <c r="G24" s="17"/>
      <c r="H24" s="35"/>
      <c r="I24" s="21"/>
      <c r="J24" s="20"/>
      <c r="K24" s="21"/>
      <c r="L24" s="22"/>
      <c r="M24" s="20" t="str">
        <f t="shared" si="0"/>
        <v/>
      </c>
      <c r="N24" s="21"/>
      <c r="O24" s="22"/>
      <c r="P24" s="12" t="str">
        <f t="shared" si="1"/>
        <v/>
      </c>
    </row>
    <row r="25" spans="2:16" ht="22.5" customHeight="1" x14ac:dyDescent="0.15">
      <c r="B25" s="27"/>
      <c r="C25" s="21"/>
      <c r="D25" s="21"/>
      <c r="E25" s="16"/>
      <c r="F25" s="17"/>
      <c r="G25" s="17"/>
      <c r="H25" s="35"/>
      <c r="I25" s="21"/>
      <c r="J25" s="20"/>
      <c r="K25" s="21"/>
      <c r="L25" s="22"/>
      <c r="M25" s="20" t="str">
        <f t="shared" si="0"/>
        <v/>
      </c>
      <c r="N25" s="21"/>
      <c r="O25" s="22"/>
      <c r="P25" s="12" t="str">
        <f t="shared" si="1"/>
        <v/>
      </c>
    </row>
    <row r="26" spans="2:16" ht="22.5" customHeight="1" x14ac:dyDescent="0.15">
      <c r="B26" s="27"/>
      <c r="C26" s="21"/>
      <c r="D26" s="21"/>
      <c r="E26" s="16"/>
      <c r="F26" s="17"/>
      <c r="G26" s="17"/>
      <c r="H26" s="35"/>
      <c r="I26" s="21"/>
      <c r="J26" s="20"/>
      <c r="K26" s="21"/>
      <c r="L26" s="22"/>
      <c r="M26" s="20" t="str">
        <f t="shared" si="0"/>
        <v/>
      </c>
      <c r="N26" s="21"/>
      <c r="O26" s="22"/>
      <c r="P26" s="12" t="str">
        <f t="shared" si="1"/>
        <v/>
      </c>
    </row>
    <row r="27" spans="2:16" ht="22.5" customHeight="1" x14ac:dyDescent="0.15">
      <c r="B27" s="27"/>
      <c r="C27" s="21"/>
      <c r="D27" s="21"/>
      <c r="E27" s="16"/>
      <c r="F27" s="17"/>
      <c r="G27" s="17"/>
      <c r="H27" s="35"/>
      <c r="I27" s="21"/>
      <c r="J27" s="20"/>
      <c r="K27" s="21"/>
      <c r="L27" s="22"/>
      <c r="M27" s="20" t="str">
        <f t="shared" si="0"/>
        <v/>
      </c>
      <c r="N27" s="21"/>
      <c r="O27" s="22"/>
      <c r="P27" s="12" t="str">
        <f t="shared" si="1"/>
        <v/>
      </c>
    </row>
    <row r="28" spans="2:16" ht="22.5" customHeight="1" x14ac:dyDescent="0.15">
      <c r="B28" s="27"/>
      <c r="C28" s="21"/>
      <c r="D28" s="21"/>
      <c r="E28" s="16"/>
      <c r="F28" s="17"/>
      <c r="G28" s="17"/>
      <c r="H28" s="35"/>
      <c r="I28" s="21"/>
      <c r="J28" s="20"/>
      <c r="K28" s="21"/>
      <c r="L28" s="22"/>
      <c r="M28" s="20" t="str">
        <f t="shared" si="0"/>
        <v/>
      </c>
      <c r="N28" s="21"/>
      <c r="O28" s="22"/>
      <c r="P28" s="12" t="str">
        <f t="shared" si="1"/>
        <v/>
      </c>
    </row>
    <row r="29" spans="2:16" ht="22.5" customHeight="1" x14ac:dyDescent="0.15">
      <c r="B29" s="27"/>
      <c r="C29" s="21"/>
      <c r="D29" s="21"/>
      <c r="E29" s="16"/>
      <c r="F29" s="17"/>
      <c r="G29" s="17"/>
      <c r="H29" s="35"/>
      <c r="I29" s="21"/>
      <c r="J29" s="20"/>
      <c r="K29" s="21"/>
      <c r="L29" s="22"/>
      <c r="M29" s="20" t="str">
        <f t="shared" si="0"/>
        <v/>
      </c>
      <c r="N29" s="21"/>
      <c r="O29" s="22"/>
      <c r="P29" s="12" t="str">
        <f t="shared" si="1"/>
        <v/>
      </c>
    </row>
    <row r="30" spans="2:16" ht="22.5" customHeight="1" x14ac:dyDescent="0.15">
      <c r="B30" s="27"/>
      <c r="C30" s="21"/>
      <c r="D30" s="21"/>
      <c r="E30" s="16"/>
      <c r="F30" s="17"/>
      <c r="G30" s="17"/>
      <c r="H30" s="35"/>
      <c r="I30" s="21"/>
      <c r="J30" s="20"/>
      <c r="K30" s="21"/>
      <c r="L30" s="22"/>
      <c r="M30" s="20" t="str">
        <f t="shared" si="0"/>
        <v/>
      </c>
      <c r="N30" s="21"/>
      <c r="O30" s="22"/>
      <c r="P30" s="12" t="str">
        <f t="shared" si="1"/>
        <v/>
      </c>
    </row>
    <row r="31" spans="2:16" ht="22.5" customHeight="1" x14ac:dyDescent="0.15">
      <c r="B31" s="27"/>
      <c r="C31" s="21"/>
      <c r="D31" s="21"/>
      <c r="E31" s="16"/>
      <c r="F31" s="17"/>
      <c r="G31" s="17"/>
      <c r="H31" s="35"/>
      <c r="I31" s="21"/>
      <c r="J31" s="20"/>
      <c r="K31" s="21"/>
      <c r="L31" s="22"/>
      <c r="M31" s="20" t="str">
        <f t="shared" si="0"/>
        <v/>
      </c>
      <c r="N31" s="21"/>
      <c r="O31" s="22"/>
      <c r="P31" s="12" t="str">
        <f t="shared" si="1"/>
        <v/>
      </c>
    </row>
    <row r="32" spans="2:16" ht="22.5" customHeight="1" x14ac:dyDescent="0.15">
      <c r="B32" s="27"/>
      <c r="C32" s="21"/>
      <c r="D32" s="21"/>
      <c r="E32" s="16"/>
      <c r="F32" s="17"/>
      <c r="G32" s="17"/>
      <c r="H32" s="35"/>
      <c r="I32" s="21"/>
      <c r="J32" s="20"/>
      <c r="K32" s="21"/>
      <c r="L32" s="22"/>
      <c r="M32" s="20" t="str">
        <f t="shared" si="0"/>
        <v/>
      </c>
      <c r="N32" s="21"/>
      <c r="O32" s="22"/>
      <c r="P32" s="12" t="str">
        <f t="shared" si="1"/>
        <v/>
      </c>
    </row>
    <row r="33" spans="2:16" ht="22.5" customHeight="1" x14ac:dyDescent="0.15">
      <c r="B33" s="27"/>
      <c r="C33" s="21"/>
      <c r="D33" s="21"/>
      <c r="E33" s="16"/>
      <c r="F33" s="17"/>
      <c r="G33" s="17"/>
      <c r="H33" s="35"/>
      <c r="I33" s="21"/>
      <c r="J33" s="20"/>
      <c r="K33" s="21"/>
      <c r="L33" s="22"/>
      <c r="M33" s="20" t="str">
        <f t="shared" si="0"/>
        <v/>
      </c>
      <c r="N33" s="21"/>
      <c r="O33" s="22"/>
      <c r="P33" s="12" t="str">
        <f t="shared" si="1"/>
        <v/>
      </c>
    </row>
    <row r="34" spans="2:16" ht="22.5" customHeight="1" x14ac:dyDescent="0.15">
      <c r="B34" s="27"/>
      <c r="C34" s="21"/>
      <c r="D34" s="21"/>
      <c r="E34" s="16"/>
      <c r="F34" s="17"/>
      <c r="G34" s="17"/>
      <c r="H34" s="35"/>
      <c r="I34" s="21"/>
      <c r="J34" s="20"/>
      <c r="K34" s="21"/>
      <c r="L34" s="22"/>
      <c r="M34" s="20" t="str">
        <f t="shared" si="0"/>
        <v/>
      </c>
      <c r="N34" s="21"/>
      <c r="O34" s="22"/>
      <c r="P34" s="12" t="str">
        <f t="shared" si="1"/>
        <v/>
      </c>
    </row>
    <row r="35" spans="2:16" ht="22.5" customHeight="1" x14ac:dyDescent="0.15">
      <c r="B35" s="42" t="s">
        <v>51</v>
      </c>
      <c r="C35" s="15"/>
      <c r="D35" s="15"/>
      <c r="E35" s="15"/>
      <c r="F35" s="15"/>
      <c r="G35" s="15"/>
      <c r="H35" s="14">
        <f>IF(SUM(H17:I34)=0,"",SUM(H17:I34))</f>
        <v>132</v>
      </c>
      <c r="I35" s="15"/>
      <c r="J35" s="23"/>
      <c r="K35" s="15"/>
      <c r="L35" s="19"/>
      <c r="M35" s="23">
        <f>IF(SUM(M17:O34)=0,"",SUM(M17:O34))</f>
        <v>8545130</v>
      </c>
      <c r="N35" s="15"/>
      <c r="O35" s="19"/>
      <c r="P35" s="13">
        <f>IF(SUM(P17:P34)=0,"",SUM(P17:P34))</f>
        <v>854513</v>
      </c>
    </row>
  </sheetData>
  <mergeCells count="135">
    <mergeCell ref="G5:H5"/>
    <mergeCell ref="J23:L23"/>
    <mergeCell ref="B26:D26"/>
    <mergeCell ref="M34:O34"/>
    <mergeCell ref="B16:D16"/>
    <mergeCell ref="O12:P12"/>
    <mergeCell ref="I6:K6"/>
    <mergeCell ref="H27:I27"/>
    <mergeCell ref="G4:H4"/>
    <mergeCell ref="H24:I24"/>
    <mergeCell ref="H18:I18"/>
    <mergeCell ref="H33:I33"/>
    <mergeCell ref="B18:D18"/>
    <mergeCell ref="O14:P14"/>
    <mergeCell ref="B27:D27"/>
    <mergeCell ref="E29:G29"/>
    <mergeCell ref="O13:P13"/>
    <mergeCell ref="H26:I26"/>
    <mergeCell ref="B2:E2"/>
    <mergeCell ref="J17:L17"/>
    <mergeCell ref="H22:I22"/>
    <mergeCell ref="E21:G21"/>
    <mergeCell ref="B25:D25"/>
    <mergeCell ref="B7:P7"/>
    <mergeCell ref="J19:L19"/>
    <mergeCell ref="B22:D22"/>
    <mergeCell ref="E23:G23"/>
    <mergeCell ref="L3:N3"/>
    <mergeCell ref="F2:F6"/>
    <mergeCell ref="H20:I20"/>
    <mergeCell ref="B3:E4"/>
    <mergeCell ref="L5:N5"/>
    <mergeCell ref="J20:L20"/>
    <mergeCell ref="M16:O16"/>
    <mergeCell ref="J22:L22"/>
    <mergeCell ref="M18:O18"/>
    <mergeCell ref="D13:H13"/>
    <mergeCell ref="G6:H6"/>
    <mergeCell ref="L6:N6"/>
    <mergeCell ref="G3:H3"/>
    <mergeCell ref="J21:L21"/>
    <mergeCell ref="B24:D24"/>
    <mergeCell ref="M35:O35"/>
    <mergeCell ref="J30:L30"/>
    <mergeCell ref="E19:G19"/>
    <mergeCell ref="G2:H2"/>
    <mergeCell ref="B23:D23"/>
    <mergeCell ref="E34:G34"/>
    <mergeCell ref="M25:O25"/>
    <mergeCell ref="H31:I31"/>
    <mergeCell ref="I3:K3"/>
    <mergeCell ref="M30:O30"/>
    <mergeCell ref="H21:I21"/>
    <mergeCell ref="M33:O33"/>
    <mergeCell ref="J32:L32"/>
    <mergeCell ref="O5:P5"/>
    <mergeCell ref="I5:K5"/>
    <mergeCell ref="C10:P10"/>
    <mergeCell ref="M17:O17"/>
    <mergeCell ref="C9:P9"/>
    <mergeCell ref="B15:P15"/>
    <mergeCell ref="M32:O32"/>
    <mergeCell ref="M19:O19"/>
    <mergeCell ref="E22:G22"/>
    <mergeCell ref="H16:I16"/>
    <mergeCell ref="J18:L18"/>
    <mergeCell ref="B35:G35"/>
    <mergeCell ref="H19:I19"/>
    <mergeCell ref="H28:I28"/>
    <mergeCell ref="B5:E6"/>
    <mergeCell ref="D12:H12"/>
    <mergeCell ref="E24:G24"/>
    <mergeCell ref="E33:G33"/>
    <mergeCell ref="J28:L28"/>
    <mergeCell ref="B31:D31"/>
    <mergeCell ref="E17:G17"/>
    <mergeCell ref="B21:D21"/>
    <mergeCell ref="D14:H14"/>
    <mergeCell ref="K13:M13"/>
    <mergeCell ref="C11:P11"/>
    <mergeCell ref="J34:L34"/>
    <mergeCell ref="H30:I30"/>
    <mergeCell ref="H29:I29"/>
    <mergeCell ref="B29:D29"/>
    <mergeCell ref="M27:O27"/>
    <mergeCell ref="E27:G27"/>
    <mergeCell ref="J31:L31"/>
    <mergeCell ref="E25:G25"/>
    <mergeCell ref="B33:D33"/>
    <mergeCell ref="H32:I32"/>
    <mergeCell ref="H34:I34"/>
    <mergeCell ref="J16:L16"/>
    <mergeCell ref="B19:D19"/>
    <mergeCell ref="K14:M14"/>
    <mergeCell ref="M26:O26"/>
    <mergeCell ref="H17:I17"/>
    <mergeCell ref="M29:O29"/>
    <mergeCell ref="E32:G32"/>
    <mergeCell ref="M23:O23"/>
    <mergeCell ref="J33:L33"/>
    <mergeCell ref="B32:D32"/>
    <mergeCell ref="J24:L24"/>
    <mergeCell ref="E28:G28"/>
    <mergeCell ref="M22:O22"/>
    <mergeCell ref="B17:D17"/>
    <mergeCell ref="M31:O31"/>
    <mergeCell ref="J26:L26"/>
    <mergeCell ref="K12:M12"/>
    <mergeCell ref="E30:G30"/>
    <mergeCell ref="M28:O28"/>
    <mergeCell ref="H25:I25"/>
    <mergeCell ref="H35:I35"/>
    <mergeCell ref="E31:G31"/>
    <mergeCell ref="O6:P6"/>
    <mergeCell ref="J27:L27"/>
    <mergeCell ref="J35:L35"/>
    <mergeCell ref="I2:P2"/>
    <mergeCell ref="B34:D34"/>
    <mergeCell ref="M21:O21"/>
    <mergeCell ref="B28:D28"/>
    <mergeCell ref="J25:L25"/>
    <mergeCell ref="E26:G26"/>
    <mergeCell ref="B30:D30"/>
    <mergeCell ref="M24:O24"/>
    <mergeCell ref="B20:D20"/>
    <mergeCell ref="E16:G16"/>
    <mergeCell ref="B12:B14"/>
    <mergeCell ref="E18:G18"/>
    <mergeCell ref="J29:L29"/>
    <mergeCell ref="I4:P4"/>
    <mergeCell ref="C8:P8"/>
    <mergeCell ref="H23:I23"/>
    <mergeCell ref="M20:O20"/>
    <mergeCell ref="E20:G20"/>
    <mergeCell ref="O3:P3"/>
  </mergeCells>
  <phoneticPr fontId="1" type="noConversion"/>
  <hyperlinks>
    <hyperlink ref="B3" r:id="rId1" xr:uid="{00000000-0004-0000-0000-000000000000}"/>
  </hyperlinks>
  <printOptions horizontalCentered="1"/>
  <pageMargins left="0.78740157480314965" right="0.78740157480314965" top="0.78740157480314965" bottom="0.78740157480314965" header="0" footer="0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견적서</vt:lpstr>
      <vt:lpstr>견적서!Print_Area</vt:lpstr>
      <vt:lpstr>예스폼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견적서</dc:title>
  <dc:creator>고라니</dc:creator>
  <cp:lastModifiedBy>RFM-Lab10</cp:lastModifiedBy>
  <cp:lastPrinted>2021-09-23T07:45:53Z</cp:lastPrinted>
  <dcterms:created xsi:type="dcterms:W3CDTF">2008-04-22T07:05:30Z</dcterms:created>
  <dcterms:modified xsi:type="dcterms:W3CDTF">2026-07-01T08:01:00Z</dcterms:modified>
</cp:coreProperties>
</file>