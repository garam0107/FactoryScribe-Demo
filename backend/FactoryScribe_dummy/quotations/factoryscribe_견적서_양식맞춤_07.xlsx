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2696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예스폼">견적서!$A$1</definedName>
    <definedName name="_xlnm.Print_Area" localSheetId="0">'견적서'!$B$2:$P$35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[DBNum4][$-412]General"/>
    <numFmt numFmtId="167" formatCode="#,##0_);[Red]\(#,##0\)"/>
  </numFmts>
  <fonts count="12">
    <font>
      <name val="굴림체"/>
      <charset val="129"/>
      <family val="3"/>
      <sz val="11"/>
    </font>
    <font>
      <name val="굴림체"/>
      <charset val="129"/>
      <family val="3"/>
      <sz val="8"/>
    </font>
    <font>
      <name val="맑은 고딕"/>
      <charset val="129"/>
      <family val="3"/>
      <sz val="9"/>
    </font>
    <font>
      <name val="맑은 고딕"/>
      <charset val="129"/>
      <family val="3"/>
      <color indexed="9"/>
      <sz val="9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color rgb="FF000000"/>
      <sz val="11"/>
      <u val="single"/>
      <scheme val="minor"/>
    </font>
    <font>
      <name val="맑은 고딕"/>
      <charset val="129"/>
      <family val="3"/>
      <color rgb="FF000000"/>
      <sz val="9"/>
      <scheme val="minor"/>
    </font>
    <font>
      <name val="굴림체"/>
      <charset val="129"/>
      <family val="3"/>
      <sz val="9"/>
    </font>
    <font>
      <name val="맑은 고딕"/>
      <charset val="129"/>
      <family val="3"/>
      <sz val="11"/>
    </font>
    <font>
      <name val="맑은 고딕"/>
      <charset val="129"/>
      <family val="3"/>
      <b val="1"/>
      <sz val="20"/>
    </font>
  </fonts>
  <fills count="3">
    <fill>
      <patternFill/>
    </fill>
    <fill>
      <patternFill patternType="gray125"/>
    </fill>
    <fill>
      <patternFill patternType="solid">
        <fgColor rgb="FFF3F3F3"/>
        <bgColor indexed="64"/>
      </patternFill>
    </fill>
  </fills>
  <borders count="40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rgb="FFA0A0A0"/>
      </right>
      <top style="hair">
        <color rgb="FFA0A0A0"/>
      </top>
      <bottom/>
      <diagonal/>
    </border>
    <border>
      <left/>
      <right style="hair">
        <color rgb="FFA0A0A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2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4" fontId="2" fillId="0" borderId="1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164" fontId="2" fillId="0" borderId="12" applyAlignment="1" pivotButton="0" quotePrefix="0" xfId="0">
      <alignment horizontal="right" vertical="center"/>
    </xf>
    <xf numFmtId="0" fontId="0" fillId="0" borderId="20" applyAlignment="1" pivotButton="0" quotePrefix="0" xfId="0">
      <alignment horizontal="right" vertical="center"/>
    </xf>
    <xf numFmtId="0" fontId="0" fillId="0" borderId="13" applyAlignment="1" pivotButton="0" quotePrefix="0" xfId="0">
      <alignment horizontal="right" vertical="center"/>
    </xf>
    <xf numFmtId="165" fontId="2" fillId="0" borderId="19" applyAlignment="1" pivotButton="0" quotePrefix="0" xfId="0">
      <alignment horizontal="left" vertical="center"/>
    </xf>
    <xf numFmtId="165" fontId="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165" fontId="2" fillId="0" borderId="27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164" fontId="2" fillId="0" borderId="20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165" fontId="2" fillId="0" borderId="12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166" fontId="2" fillId="0" borderId="28" applyAlignment="1" pivotButton="0" quotePrefix="0" xfId="0">
      <alignment horizontal="right" vertical="center"/>
    </xf>
    <xf numFmtId="166" fontId="0" fillId="0" borderId="28" applyAlignment="1" pivotButton="0" quotePrefix="0" xfId="0">
      <alignment horizontal="right" vertical="center"/>
    </xf>
    <xf numFmtId="167" fontId="2" fillId="0" borderId="28" applyAlignment="1" pivotButton="0" quotePrefix="0" xfId="0">
      <alignment horizontal="right" vertical="center"/>
    </xf>
    <xf numFmtId="167" fontId="0" fillId="0" borderId="28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9" applyAlignment="1" pivotButton="0" quotePrefix="0" xfId="0">
      <alignment horizontal="center" vertical="center" textRotation="255"/>
    </xf>
    <xf numFmtId="0" fontId="2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164" fontId="2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165" fontId="2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8" applyAlignment="1" pivotButton="0" quotePrefix="0" xfId="0">
      <alignment horizontal="right" vertical="center"/>
    </xf>
    <xf numFmtId="0" fontId="10" fillId="0" borderId="7" applyAlignment="1" pivotButton="0" quotePrefix="0" xfId="0">
      <alignment horizontal="center" vertical="center" textRotation="255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13" pivotButton="0" quotePrefix="0" xfId="0"/>
    <xf numFmtId="0" fontId="0" fillId="0" borderId="20" pivotButton="0" quotePrefix="0" xfId="0"/>
    <xf numFmtId="0" fontId="0" fillId="0" borderId="39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3" pivotButton="0" quotePrefix="0" xfId="0"/>
    <xf numFmtId="165" fontId="2" fillId="0" borderId="5" applyAlignment="1" pivotButton="0" quotePrefix="0" xfId="0">
      <alignment vertical="center"/>
    </xf>
    <xf numFmtId="0" fontId="0" fillId="0" borderId="29" pivotButton="0" quotePrefix="0" xfId="0"/>
    <xf numFmtId="0" fontId="2" fillId="0" borderId="31" applyAlignment="1" pivotButton="0" quotePrefix="0" xfId="0">
      <alignment vertical="center"/>
    </xf>
    <xf numFmtId="0" fontId="0" fillId="0" borderId="31" pivotButton="0" quotePrefix="0" xfId="0"/>
    <xf numFmtId="166" fontId="2" fillId="0" borderId="28" applyAlignment="1" pivotButton="0" quotePrefix="0" xfId="0">
      <alignment horizontal="right" vertical="center"/>
    </xf>
    <xf numFmtId="0" fontId="0" fillId="0" borderId="28" pivotButton="0" quotePrefix="0" xfId="0"/>
    <xf numFmtId="167" fontId="2" fillId="0" borderId="28" applyAlignment="1" pivotButton="0" quotePrefix="0" xfId="0">
      <alignment horizontal="right" vertical="center"/>
    </xf>
    <xf numFmtId="0" fontId="2" fillId="0" borderId="24" applyAlignment="1" pivotButton="0" quotePrefix="0" xfId="0">
      <alignment vertical="center"/>
    </xf>
    <xf numFmtId="0" fontId="0" fillId="0" borderId="24" pivotButton="0" quotePrefix="0" xfId="0"/>
    <xf numFmtId="0" fontId="2" fillId="0" borderId="34" applyAlignment="1" pivotButton="0" quotePrefix="0" xfId="0">
      <alignment vertical="center"/>
    </xf>
    <xf numFmtId="0" fontId="0" fillId="0" borderId="34" pivotButton="0" quotePrefix="0" xfId="0"/>
    <xf numFmtId="0" fontId="0" fillId="0" borderId="26" pivotButton="0" quotePrefix="0" xfId="0"/>
    <xf numFmtId="0" fontId="2" fillId="2" borderId="5" applyAlignment="1" pivotButton="0" quotePrefix="0" xfId="0">
      <alignment horizontal="center" vertical="center"/>
    </xf>
    <xf numFmtId="165" fontId="2" fillId="0" borderId="19" applyAlignment="1" pivotButton="0" quotePrefix="0" xfId="0">
      <alignment horizontal="left" vertical="center"/>
    </xf>
    <xf numFmtId="165" fontId="2" fillId="0" borderId="12" applyAlignment="1" pivotButton="0" quotePrefix="0" xfId="0">
      <alignment horizontal="left" vertical="center"/>
    </xf>
    <xf numFmtId="164" fontId="2" fillId="0" borderId="12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5" fontId="2" fillId="0" borderId="27" applyAlignment="1" pivotButton="0" quotePrefix="0" xfId="0">
      <alignment horizontal="left" vertical="center"/>
    </xf>
    <xf numFmtId="164" fontId="2" fillId="0" borderId="23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eskiness.tistory.com/" TargetMode="Externa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autoPageBreaks="0"/>
  </sheetPr>
  <dimension ref="B1:FG35"/>
  <sheetViews>
    <sheetView showGridLines="0" tabSelected="1" zoomScaleNormal="100" workbookViewId="0">
      <selection activeCell="A1" sqref="A1"/>
    </sheetView>
  </sheetViews>
  <sheetFormatPr baseColWidth="8" defaultColWidth="3.6640625" defaultRowHeight="18" customHeight="1"/>
  <cols>
    <col width="3.6640625" customWidth="1" style="41" min="1" max="1"/>
    <col width="15.88671875" customWidth="1" style="41" min="2" max="2"/>
    <col width="5.44140625" customWidth="1" style="41" min="3" max="5"/>
    <col width="4.44140625" customWidth="1" style="41" min="6" max="6"/>
    <col width="8.21875" customWidth="1" style="41" min="7" max="7"/>
    <col width="2.77734375" customWidth="1" style="41" min="8" max="8"/>
    <col width="5.44140625" customWidth="1" style="41" min="9" max="9"/>
    <col width="2.77734375" customWidth="1" style="41" min="10" max="10"/>
    <col width="5.44140625" customWidth="1" style="41" min="11" max="11"/>
    <col width="2.77734375" customWidth="1" style="41" min="12" max="12"/>
    <col width="5.44140625" customWidth="1" style="41" min="13" max="13"/>
    <col width="2.77734375" customWidth="1" style="41" min="14" max="15"/>
    <col width="11" customWidth="1" style="41" min="16" max="16"/>
    <col width="2.77734375" customWidth="1" style="41" min="17" max="22"/>
    <col width="3.6640625" customWidth="1" style="41" min="23" max="16384"/>
  </cols>
  <sheetData>
    <row r="1" ht="18" customHeight="1" s="83">
      <c r="FG1" s="2" t="n"/>
    </row>
    <row r="2" ht="22.5" customHeight="1" s="83">
      <c r="B2" s="25" t="inlineStr">
        <is>
          <t>견적번호 : QT-2026-007 호</t>
        </is>
      </c>
      <c r="F2" s="49" t="inlineStr">
        <is>
          <t>공 급 자</t>
        </is>
      </c>
      <c r="G2" s="52" t="inlineStr">
        <is>
          <t>사업자번호</t>
        </is>
      </c>
      <c r="H2" s="84" t="n"/>
      <c r="I2" s="52" t="inlineStr">
        <is>
          <t>123-45-67890</t>
        </is>
      </c>
      <c r="J2" s="85" t="n"/>
      <c r="K2" s="85" t="n"/>
      <c r="L2" s="85" t="n"/>
      <c r="M2" s="85" t="n"/>
      <c r="N2" s="85" t="n"/>
      <c r="O2" s="85" t="n"/>
      <c r="P2" s="84" t="n"/>
    </row>
    <row r="3" ht="22.5" customHeight="1" s="83">
      <c r="B3" s="82" t="inlineStr">
        <is>
          <t>견적서</t>
        </is>
      </c>
      <c r="F3" s="86" t="n"/>
      <c r="G3" s="48" t="inlineStr">
        <is>
          <t>상     호</t>
        </is>
      </c>
      <c r="H3" s="87" t="n"/>
      <c r="I3" s="48" t="inlineStr">
        <is>
          <t>넥스트바인</t>
        </is>
      </c>
      <c r="J3" s="88" t="n"/>
      <c r="K3" s="87" t="n"/>
      <c r="L3" s="48" t="inlineStr">
        <is>
          <t>대 표 자</t>
        </is>
      </c>
      <c r="M3" s="88" t="n"/>
      <c r="N3" s="87" t="n"/>
      <c r="O3" s="77" t="inlineStr">
        <is>
          <t>대표자 (인)</t>
        </is>
      </c>
      <c r="P3" s="87" t="n"/>
    </row>
    <row r="4" ht="22.5" customHeight="1" s="83">
      <c r="F4" s="86" t="n"/>
      <c r="G4" s="48" t="inlineStr">
        <is>
          <t>소 재 지</t>
        </is>
      </c>
      <c r="H4" s="87" t="n"/>
      <c r="I4" s="63" t="inlineStr">
        <is>
          <t>서울특별시 강남구 테헤란로 000</t>
        </is>
      </c>
      <c r="J4" s="88" t="n"/>
      <c r="K4" s="88" t="n"/>
      <c r="L4" s="88" t="n"/>
      <c r="M4" s="88" t="n"/>
      <c r="N4" s="88" t="n"/>
      <c r="O4" s="88" t="n"/>
      <c r="P4" s="87" t="n"/>
    </row>
    <row r="5" ht="22.5" customHeight="1" s="83">
      <c r="B5" s="28" t="inlineStr">
        <is>
          <t>태성메카트로닉스 귀하
2026년 07월 07일</t>
        </is>
      </c>
      <c r="F5" s="86" t="n"/>
      <c r="G5" s="48" t="inlineStr">
        <is>
          <t>업     태</t>
        </is>
      </c>
      <c r="H5" s="87" t="n"/>
      <c r="I5" s="48" t="inlineStr">
        <is>
          <t>서비스/제조</t>
        </is>
      </c>
      <c r="J5" s="88" t="n"/>
      <c r="K5" s="87" t="n"/>
      <c r="L5" s="48" t="inlineStr">
        <is>
          <t>종     목</t>
        </is>
      </c>
      <c r="M5" s="88" t="n"/>
      <c r="N5" s="87" t="n"/>
      <c r="O5" s="48" t="inlineStr">
        <is>
          <t>AI 제조 문서 플랫폼</t>
        </is>
      </c>
      <c r="P5" s="87" t="n"/>
    </row>
    <row r="6" ht="22.5" customHeight="1" s="83">
      <c r="F6" s="89" t="n"/>
      <c r="G6" s="54" t="inlineStr">
        <is>
          <t>담 당 자</t>
        </is>
      </c>
      <c r="H6" s="90" t="n"/>
      <c r="I6" s="54" t="inlineStr">
        <is>
          <t>김OO</t>
        </is>
      </c>
      <c r="J6" s="91" t="n"/>
      <c r="K6" s="90" t="n"/>
      <c r="L6" s="54" t="inlineStr">
        <is>
          <t>연 락 처</t>
        </is>
      </c>
      <c r="M6" s="91" t="n"/>
      <c r="N6" s="90" t="n"/>
      <c r="O6" s="54" t="inlineStr">
        <is>
          <t>02-0000-0000</t>
        </is>
      </c>
      <c r="P6" s="90" t="n"/>
    </row>
    <row r="7" ht="23.25" customHeight="1" s="83">
      <c r="B7" s="23" t="inlineStr">
        <is>
          <t>아래와 같이 견적합니다.</t>
        </is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</row>
    <row r="8" ht="22.5" customHeight="1" s="83">
      <c r="B8" s="11" t="inlineStr">
        <is>
          <t>견 적 명</t>
        </is>
      </c>
      <c r="C8" s="93" t="inlineStr">
        <is>
          <t>FactoryScribe 제조 자재 견적 7차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4" t="n"/>
    </row>
    <row r="9" ht="22.5" customHeight="1" s="83">
      <c r="B9" s="12" t="inlineStr">
        <is>
          <t>납품기한</t>
        </is>
      </c>
      <c r="C9" s="74" t="inlineStr">
        <is>
          <t xml:space="preserve"> 계약일로부터 14일 이내</t>
        </is>
      </c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7" t="n"/>
    </row>
    <row r="10" ht="22.5" customHeight="1" s="83">
      <c r="B10" s="12" t="inlineStr">
        <is>
          <t>대금 지불방식</t>
        </is>
      </c>
      <c r="C10" s="74" t="inlineStr">
        <is>
          <t xml:space="preserve"> 월말 마감 후 30일 현금 결제</t>
        </is>
      </c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7" t="n"/>
    </row>
    <row r="11" ht="22.5" customHeight="1" s="83">
      <c r="B11" s="12" t="inlineStr">
        <is>
          <t>견적 유효기간</t>
        </is>
      </c>
      <c r="C11" s="74" t="inlineStr">
        <is>
          <t xml:space="preserve"> 견적일로부터 14일간</t>
        </is>
      </c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7" t="n"/>
    </row>
    <row r="12" ht="6.9" customHeight="1" s="83">
      <c r="B12" s="34" t="inlineStr">
        <is>
          <t>합계금액
(공급가액+세액)</t>
        </is>
      </c>
      <c r="C12" s="3" t="n"/>
      <c r="D12" s="43" t="n"/>
      <c r="E12" s="94" t="n"/>
      <c r="F12" s="94" t="n"/>
      <c r="G12" s="94" t="n"/>
      <c r="H12" s="94" t="n"/>
      <c r="I12" s="43" t="n"/>
      <c r="J12" s="43" t="n"/>
      <c r="K12" s="43" t="n"/>
      <c r="L12" s="94" t="n"/>
      <c r="M12" s="94" t="n"/>
      <c r="N12" s="43" t="n"/>
      <c r="O12" s="95" t="n"/>
      <c r="P12" s="96" t="n"/>
    </row>
    <row r="13" ht="15.9" customHeight="1" s="83">
      <c r="B13" s="86" t="n"/>
      <c r="C13" s="7" t="inlineStr">
        <is>
          <t>일금</t>
        </is>
      </c>
      <c r="D13" s="97">
        <f>K13</f>
        <v/>
      </c>
      <c r="E13" s="98" t="n"/>
      <c r="F13" s="98" t="n"/>
      <c r="G13" s="98" t="n"/>
      <c r="H13" s="98" t="n"/>
      <c r="I13" s="41" t="inlineStr">
        <is>
          <t>원정</t>
        </is>
      </c>
      <c r="J13" s="8" t="inlineStr">
        <is>
          <t>(\</t>
        </is>
      </c>
      <c r="K13" s="99">
        <f>IFERROR(M35+P35,"")</f>
        <v/>
      </c>
      <c r="L13" s="98" t="n"/>
      <c r="M13" s="98" t="n"/>
      <c r="N13" s="41" t="inlineStr">
        <is>
          <t>)</t>
        </is>
      </c>
      <c r="O13" s="100" t="n"/>
      <c r="P13" s="101" t="n"/>
    </row>
    <row r="14" ht="6.9" customHeight="1" s="83">
      <c r="B14" s="89" t="n"/>
      <c r="C14" s="5" t="n"/>
      <c r="D14" s="23" t="n"/>
      <c r="E14" s="92" t="n"/>
      <c r="F14" s="92" t="n"/>
      <c r="G14" s="92" t="n"/>
      <c r="H14" s="92" t="n"/>
      <c r="I14" s="23" t="n"/>
      <c r="J14" s="23" t="n"/>
      <c r="K14" s="23" t="n"/>
      <c r="L14" s="92" t="n"/>
      <c r="M14" s="92" t="n"/>
      <c r="N14" s="23" t="n"/>
      <c r="O14" s="102" t="n"/>
      <c r="P14" s="103" t="n"/>
    </row>
    <row r="15" ht="15.9" customHeight="1" s="83">
      <c r="B15" s="23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</row>
    <row r="16" ht="22.5" customHeight="1" s="83">
      <c r="B16" s="29" t="inlineStr">
        <is>
          <t>품명</t>
        </is>
      </c>
      <c r="C16" s="85" t="n"/>
      <c r="D16" s="85" t="n"/>
      <c r="E16" s="31" t="inlineStr">
        <is>
          <t>규격/사양</t>
        </is>
      </c>
      <c r="F16" s="104" t="n"/>
      <c r="G16" s="104" t="n"/>
      <c r="H16" s="68" t="inlineStr">
        <is>
          <t>수량</t>
        </is>
      </c>
      <c r="I16" s="85" t="n"/>
      <c r="J16" s="105" t="inlineStr">
        <is>
          <t>단가</t>
        </is>
      </c>
      <c r="K16" s="85" t="n"/>
      <c r="L16" s="84" t="n"/>
      <c r="M16" s="105" t="inlineStr">
        <is>
          <t>공급가액</t>
        </is>
      </c>
      <c r="N16" s="85" t="n"/>
      <c r="O16" s="84" t="n"/>
      <c r="P16" s="13" t="inlineStr">
        <is>
          <t>세액</t>
        </is>
      </c>
    </row>
    <row r="17" ht="22.5" customHeight="1" s="83">
      <c r="B17" s="106" t="inlineStr">
        <is>
          <t>메인 프레임 (FS-RM-025)</t>
        </is>
      </c>
      <c r="C17" s="88" t="n"/>
      <c r="D17" s="88" t="n"/>
      <c r="E17" s="107" t="inlineStr">
        <is>
          <t>방수-35</t>
        </is>
      </c>
      <c r="F17" s="88" t="n"/>
      <c r="G17" s="88" t="n"/>
      <c r="H17" s="108" t="n">
        <v>23</v>
      </c>
      <c r="I17" s="88" t="n"/>
      <c r="J17" s="109" t="n">
        <v>73000</v>
      </c>
      <c r="K17" s="88" t="n"/>
      <c r="L17" s="87" t="n"/>
      <c r="M17" s="109">
        <f>IF(OR(H17="",J17=""),"",H17*J17)</f>
        <v/>
      </c>
      <c r="N17" s="88" t="n"/>
      <c r="O17" s="87" t="n"/>
      <c r="P17" s="110">
        <f>IF(OR(H17="",J17=""),"",M17*0.1)</f>
        <v/>
      </c>
    </row>
    <row r="18" ht="22.5" customHeight="1" s="83">
      <c r="B18" s="106" t="inlineStr">
        <is>
          <t>커넥터 12핀 (FS-EL-027)</t>
        </is>
      </c>
      <c r="C18" s="88" t="n"/>
      <c r="D18" s="88" t="n"/>
      <c r="E18" s="111" t="inlineStr">
        <is>
          <t>표준-37</t>
        </is>
      </c>
      <c r="F18" s="98" t="n"/>
      <c r="G18" s="98" t="n"/>
      <c r="H18" s="108" t="n">
        <v>27</v>
      </c>
      <c r="I18" s="88" t="n"/>
      <c r="J18" s="109" t="n">
        <v>66050</v>
      </c>
      <c r="K18" s="88" t="n"/>
      <c r="L18" s="87" t="n"/>
      <c r="M18" s="109">
        <f>IF(OR(H18="",J18=""),"",H18*J18)</f>
        <v/>
      </c>
      <c r="N18" s="88" t="n"/>
      <c r="O18" s="87" t="n"/>
      <c r="P18" s="110">
        <f>IF(OR(H18="",J18=""),"",M18*0.1)</f>
        <v/>
      </c>
    </row>
    <row r="19" ht="22.5" customHeight="1" s="83">
      <c r="B19" s="106" t="inlineStr">
        <is>
          <t>방열판 (FS-PN-029)</t>
        </is>
      </c>
      <c r="C19" s="88" t="n"/>
      <c r="D19" s="88" t="n"/>
      <c r="E19" s="111" t="inlineStr">
        <is>
          <t>고내열-39</t>
        </is>
      </c>
      <c r="F19" s="98" t="n"/>
      <c r="G19" s="98" t="n"/>
      <c r="H19" s="108" t="n">
        <v>19</v>
      </c>
      <c r="I19" s="88" t="n"/>
      <c r="J19" s="109" t="n">
        <v>63750</v>
      </c>
      <c r="K19" s="88" t="n"/>
      <c r="L19" s="87" t="n"/>
      <c r="M19" s="109">
        <f>IF(OR(H19="",J19=""),"",H19*J19)</f>
        <v/>
      </c>
      <c r="N19" s="88" t="n"/>
      <c r="O19" s="87" t="n"/>
      <c r="P19" s="110">
        <f>IF(OR(H19="",J19=""),"",M19*0.1)</f>
        <v/>
      </c>
    </row>
    <row r="20" ht="22.5" customHeight="1" s="83">
      <c r="B20" s="106" t="inlineStr">
        <is>
          <t>스프링 핀 (FS-RM-031)</t>
        </is>
      </c>
      <c r="C20" s="88" t="n"/>
      <c r="D20" s="88" t="n"/>
      <c r="E20" s="111" t="inlineStr">
        <is>
          <t>고내열-41</t>
        </is>
      </c>
      <c r="F20" s="98" t="n"/>
      <c r="G20" s="98" t="n"/>
      <c r="H20" s="108" t="n">
        <v>25</v>
      </c>
      <c r="I20" s="88" t="n"/>
      <c r="J20" s="109" t="n">
        <v>86660</v>
      </c>
      <c r="K20" s="88" t="n"/>
      <c r="L20" s="87" t="n"/>
      <c r="M20" s="109">
        <f>IF(OR(H20="",J20=""),"",H20*J20)</f>
        <v/>
      </c>
      <c r="N20" s="88" t="n"/>
      <c r="O20" s="87" t="n"/>
      <c r="P20" s="110">
        <f>IF(OR(H20="",J20=""),"",M20*0.1)</f>
        <v/>
      </c>
    </row>
    <row r="21" ht="22.5" customHeight="1" s="83">
      <c r="B21" s="106" t="inlineStr">
        <is>
          <t>절연 테이프 (FS-PK-033)</t>
        </is>
      </c>
      <c r="C21" s="88" t="n"/>
      <c r="D21" s="88" t="n"/>
      <c r="E21" s="111" t="inlineStr">
        <is>
          <t>A형-43</t>
        </is>
      </c>
      <c r="F21" s="98" t="n"/>
      <c r="G21" s="98" t="n"/>
      <c r="H21" s="108" t="n">
        <v>31</v>
      </c>
      <c r="I21" s="88" t="n"/>
      <c r="J21" s="109" t="n">
        <v>55580</v>
      </c>
      <c r="K21" s="88" t="n"/>
      <c r="L21" s="87" t="n"/>
      <c r="M21" s="109">
        <f>IF(OR(H21="",J21=""),"",H21*J21)</f>
        <v/>
      </c>
      <c r="N21" s="88" t="n"/>
      <c r="O21" s="87" t="n"/>
      <c r="P21" s="110">
        <f>IF(OR(H21="",J21=""),"",M21*0.1)</f>
        <v/>
      </c>
    </row>
    <row r="22" ht="22.5" customHeight="1" s="83">
      <c r="B22" s="106" t="inlineStr">
        <is>
          <t>스테퍼 드라이버 (FS-MC-035)</t>
        </is>
      </c>
      <c r="C22" s="88" t="n"/>
      <c r="D22" s="88" t="n"/>
      <c r="E22" s="111" t="inlineStr">
        <is>
          <t>A형-45</t>
        </is>
      </c>
      <c r="F22" s="98" t="n"/>
      <c r="G22" s="98" t="n"/>
      <c r="H22" s="108" t="n">
        <v>32</v>
      </c>
      <c r="I22" s="88" t="n"/>
      <c r="J22" s="109" t="n">
        <v>28740</v>
      </c>
      <c r="K22" s="88" t="n"/>
      <c r="L22" s="87" t="n"/>
      <c r="M22" s="109">
        <f>IF(OR(H22="",J22=""),"",H22*J22)</f>
        <v/>
      </c>
      <c r="N22" s="88" t="n"/>
      <c r="O22" s="87" t="n"/>
      <c r="P22" s="110">
        <f>IF(OR(H22="",J22=""),"",M22*0.1)</f>
        <v/>
      </c>
    </row>
    <row r="23" ht="22.5" customHeight="1" s="83">
      <c r="B23" s="106" t="n"/>
      <c r="C23" s="88" t="n"/>
      <c r="D23" s="88" t="n"/>
      <c r="E23" s="111" t="n"/>
      <c r="F23" s="98" t="n"/>
      <c r="G23" s="98" t="n"/>
      <c r="H23" s="108" t="n"/>
      <c r="I23" s="88" t="n"/>
      <c r="J23" s="109" t="n"/>
      <c r="K23" s="88" t="n"/>
      <c r="L23" s="87" t="n"/>
      <c r="M23" s="109">
        <f>IF(OR(H23="",J23=""),"",H23*J23)</f>
        <v/>
      </c>
      <c r="N23" s="88" t="n"/>
      <c r="O23" s="87" t="n"/>
      <c r="P23" s="110">
        <f>IF(OR(H23="",J23=""),"",M23*0.1)</f>
        <v/>
      </c>
    </row>
    <row r="24" ht="22.5" customHeight="1" s="83">
      <c r="B24" s="106" t="n"/>
      <c r="C24" s="88" t="n"/>
      <c r="D24" s="88" t="n"/>
      <c r="E24" s="111" t="n"/>
      <c r="F24" s="98" t="n"/>
      <c r="G24" s="98" t="n"/>
      <c r="H24" s="108" t="n"/>
      <c r="I24" s="88" t="n"/>
      <c r="J24" s="109" t="n"/>
      <c r="K24" s="88" t="n"/>
      <c r="L24" s="87" t="n"/>
      <c r="M24" s="109">
        <f>IF(OR(H24="",J24=""),"",H24*J24)</f>
        <v/>
      </c>
      <c r="N24" s="88" t="n"/>
      <c r="O24" s="87" t="n"/>
      <c r="P24" s="110">
        <f>IF(OR(H24="",J24=""),"",M24*0.1)</f>
        <v/>
      </c>
    </row>
    <row r="25" ht="22.5" customHeight="1" s="83">
      <c r="B25" s="106" t="n"/>
      <c r="C25" s="88" t="n"/>
      <c r="D25" s="88" t="n"/>
      <c r="E25" s="111" t="n"/>
      <c r="F25" s="98" t="n"/>
      <c r="G25" s="98" t="n"/>
      <c r="H25" s="108" t="n"/>
      <c r="I25" s="88" t="n"/>
      <c r="J25" s="109" t="n"/>
      <c r="K25" s="88" t="n"/>
      <c r="L25" s="87" t="n"/>
      <c r="M25" s="109">
        <f>IF(OR(H25="",J25=""),"",H25*J25)</f>
        <v/>
      </c>
      <c r="N25" s="88" t="n"/>
      <c r="O25" s="87" t="n"/>
      <c r="P25" s="110">
        <f>IF(OR(H25="",J25=""),"",M25*0.1)</f>
        <v/>
      </c>
    </row>
    <row r="26" ht="22.5" customHeight="1" s="83">
      <c r="B26" s="106" t="n"/>
      <c r="C26" s="88" t="n"/>
      <c r="D26" s="88" t="n"/>
      <c r="E26" s="111" t="n"/>
      <c r="F26" s="98" t="n"/>
      <c r="G26" s="98" t="n"/>
      <c r="H26" s="108" t="n"/>
      <c r="I26" s="88" t="n"/>
      <c r="J26" s="109" t="n"/>
      <c r="K26" s="88" t="n"/>
      <c r="L26" s="87" t="n"/>
      <c r="M26" s="109">
        <f>IF(OR(H26="",J26=""),"",H26*J26)</f>
        <v/>
      </c>
      <c r="N26" s="88" t="n"/>
      <c r="O26" s="87" t="n"/>
      <c r="P26" s="110">
        <f>IF(OR(H26="",J26=""),"",M26*0.1)</f>
        <v/>
      </c>
    </row>
    <row r="27" ht="22.5" customHeight="1" s="83">
      <c r="B27" s="106" t="n"/>
      <c r="C27" s="88" t="n"/>
      <c r="D27" s="88" t="n"/>
      <c r="E27" s="111" t="n"/>
      <c r="F27" s="98" t="n"/>
      <c r="G27" s="98" t="n"/>
      <c r="H27" s="108" t="n"/>
      <c r="I27" s="88" t="n"/>
      <c r="J27" s="109" t="n"/>
      <c r="K27" s="88" t="n"/>
      <c r="L27" s="87" t="n"/>
      <c r="M27" s="109">
        <f>IF(OR(H27="",J27=""),"",H27*J27)</f>
        <v/>
      </c>
      <c r="N27" s="88" t="n"/>
      <c r="O27" s="87" t="n"/>
      <c r="P27" s="110">
        <f>IF(OR(H27="",J27=""),"",M27*0.1)</f>
        <v/>
      </c>
    </row>
    <row r="28" ht="22.5" customHeight="1" s="83">
      <c r="B28" s="106" t="n"/>
      <c r="C28" s="88" t="n"/>
      <c r="D28" s="88" t="n"/>
      <c r="E28" s="111" t="n"/>
      <c r="F28" s="98" t="n"/>
      <c r="G28" s="98" t="n"/>
      <c r="H28" s="108" t="n"/>
      <c r="I28" s="88" t="n"/>
      <c r="J28" s="109" t="n"/>
      <c r="K28" s="88" t="n"/>
      <c r="L28" s="87" t="n"/>
      <c r="M28" s="109">
        <f>IF(OR(H28="",J28=""),"",H28*J28)</f>
        <v/>
      </c>
      <c r="N28" s="88" t="n"/>
      <c r="O28" s="87" t="n"/>
      <c r="P28" s="110">
        <f>IF(OR(H28="",J28=""),"",M28*0.1)</f>
        <v/>
      </c>
    </row>
    <row r="29" ht="22.5" customHeight="1" s="83">
      <c r="B29" s="106" t="n"/>
      <c r="C29" s="88" t="n"/>
      <c r="D29" s="88" t="n"/>
      <c r="E29" s="111" t="n"/>
      <c r="F29" s="98" t="n"/>
      <c r="G29" s="98" t="n"/>
      <c r="H29" s="108" t="n"/>
      <c r="I29" s="88" t="n"/>
      <c r="J29" s="109" t="n"/>
      <c r="K29" s="88" t="n"/>
      <c r="L29" s="87" t="n"/>
      <c r="M29" s="109">
        <f>IF(OR(H29="",J29=""),"",H29*J29)</f>
        <v/>
      </c>
      <c r="N29" s="88" t="n"/>
      <c r="O29" s="87" t="n"/>
      <c r="P29" s="110">
        <f>IF(OR(H29="",J29=""),"",M29*0.1)</f>
        <v/>
      </c>
    </row>
    <row r="30" ht="22.5" customHeight="1" s="83">
      <c r="B30" s="106" t="n"/>
      <c r="C30" s="88" t="n"/>
      <c r="D30" s="88" t="n"/>
      <c r="E30" s="111" t="n"/>
      <c r="F30" s="98" t="n"/>
      <c r="G30" s="98" t="n"/>
      <c r="H30" s="108" t="n"/>
      <c r="I30" s="88" t="n"/>
      <c r="J30" s="109" t="n"/>
      <c r="K30" s="88" t="n"/>
      <c r="L30" s="87" t="n"/>
      <c r="M30" s="109">
        <f>IF(OR(H30="",J30=""),"",H30*J30)</f>
        <v/>
      </c>
      <c r="N30" s="88" t="n"/>
      <c r="O30" s="87" t="n"/>
      <c r="P30" s="110">
        <f>IF(OR(H30="",J30=""),"",M30*0.1)</f>
        <v/>
      </c>
    </row>
    <row r="31" ht="22.5" customHeight="1" s="83">
      <c r="B31" s="106" t="n"/>
      <c r="C31" s="88" t="n"/>
      <c r="D31" s="88" t="n"/>
      <c r="E31" s="111" t="n"/>
      <c r="F31" s="98" t="n"/>
      <c r="G31" s="98" t="n"/>
      <c r="H31" s="108" t="n"/>
      <c r="I31" s="88" t="n"/>
      <c r="J31" s="109" t="n"/>
      <c r="K31" s="88" t="n"/>
      <c r="L31" s="87" t="n"/>
      <c r="M31" s="109">
        <f>IF(OR(H31="",J31=""),"",H31*J31)</f>
        <v/>
      </c>
      <c r="N31" s="88" t="n"/>
      <c r="O31" s="87" t="n"/>
      <c r="P31" s="110">
        <f>IF(OR(H31="",J31=""),"",M31*0.1)</f>
        <v/>
      </c>
    </row>
    <row r="32" ht="22.5" customHeight="1" s="83">
      <c r="B32" s="106" t="n"/>
      <c r="C32" s="88" t="n"/>
      <c r="D32" s="88" t="n"/>
      <c r="E32" s="111" t="n"/>
      <c r="F32" s="98" t="n"/>
      <c r="G32" s="98" t="n"/>
      <c r="H32" s="108" t="n"/>
      <c r="I32" s="88" t="n"/>
      <c r="J32" s="109" t="n"/>
      <c r="K32" s="88" t="n"/>
      <c r="L32" s="87" t="n"/>
      <c r="M32" s="109">
        <f>IF(OR(H32="",J32=""),"",H32*J32)</f>
        <v/>
      </c>
      <c r="N32" s="88" t="n"/>
      <c r="O32" s="87" t="n"/>
      <c r="P32" s="110">
        <f>IF(OR(H32="",J32=""),"",M32*0.1)</f>
        <v/>
      </c>
    </row>
    <row r="33" ht="22.5" customHeight="1" s="83">
      <c r="B33" s="106" t="n"/>
      <c r="C33" s="88" t="n"/>
      <c r="D33" s="88" t="n"/>
      <c r="E33" s="111" t="n"/>
      <c r="F33" s="98" t="n"/>
      <c r="G33" s="98" t="n"/>
      <c r="H33" s="108" t="n"/>
      <c r="I33" s="88" t="n"/>
      <c r="J33" s="109" t="n"/>
      <c r="K33" s="88" t="n"/>
      <c r="L33" s="87" t="n"/>
      <c r="M33" s="109">
        <f>IF(OR(H33="",J33=""),"",H33*J33)</f>
        <v/>
      </c>
      <c r="N33" s="88" t="n"/>
      <c r="O33" s="87" t="n"/>
      <c r="P33" s="110">
        <f>IF(OR(H33="",J33=""),"",M33*0.1)</f>
        <v/>
      </c>
    </row>
    <row r="34" ht="22.5" customHeight="1" s="83">
      <c r="B34" s="106" t="n"/>
      <c r="C34" s="88" t="n"/>
      <c r="D34" s="88" t="n"/>
      <c r="E34" s="111" t="n"/>
      <c r="F34" s="98" t="n"/>
      <c r="G34" s="98" t="n"/>
      <c r="H34" s="108" t="n"/>
      <c r="I34" s="88" t="n"/>
      <c r="J34" s="109" t="n"/>
      <c r="K34" s="88" t="n"/>
      <c r="L34" s="87" t="n"/>
      <c r="M34" s="109">
        <f>IF(OR(H34="",J34=""),"",H34*J34)</f>
        <v/>
      </c>
      <c r="N34" s="88" t="n"/>
      <c r="O34" s="87" t="n"/>
      <c r="P34" s="110">
        <f>IF(OR(H34="",J34=""),"",M34*0.1)</f>
        <v/>
      </c>
    </row>
    <row r="35" ht="22.5" customHeight="1" s="83">
      <c r="B35" s="56" t="inlineStr">
        <is>
          <t>합계</t>
        </is>
      </c>
      <c r="C35" s="91" t="n"/>
      <c r="D35" s="91" t="n"/>
      <c r="E35" s="91" t="n"/>
      <c r="F35" s="91" t="n"/>
      <c r="G35" s="91" t="n"/>
      <c r="H35" s="112">
        <f>IF(SUM(H17:I34)=0,"",SUM(H17:I34))</f>
        <v/>
      </c>
      <c r="I35" s="91" t="n"/>
      <c r="J35" s="113" t="n"/>
      <c r="K35" s="91" t="n"/>
      <c r="L35" s="90" t="n"/>
      <c r="M35" s="113">
        <f>IF(SUM(M17:O34)=0,"",SUM(M17:O34))</f>
        <v/>
      </c>
      <c r="N35" s="91" t="n"/>
      <c r="O35" s="90" t="n"/>
      <c r="P35" s="114">
        <f>IF(SUM(P17:P34)=0,"",SUM(P17:P34))</f>
        <v/>
      </c>
    </row>
  </sheetData>
  <mergeCells count="135"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K13:M13"/>
    <mergeCell ref="C11:P11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J34:L34"/>
    <mergeCell ref="L3:N3"/>
    <mergeCell ref="H30:I30"/>
    <mergeCell ref="F2:F6"/>
    <mergeCell ref="H20:I20"/>
    <mergeCell ref="B3:E4"/>
    <mergeCell ref="H29:I29"/>
    <mergeCell ref="L5:N5"/>
    <mergeCell ref="J20:L20"/>
    <mergeCell ref="M16:O16"/>
    <mergeCell ref="B29:D29"/>
    <mergeCell ref="M27:O27"/>
    <mergeCell ref="E27:G27"/>
    <mergeCell ref="J22:L22"/>
    <mergeCell ref="M18:O18"/>
    <mergeCell ref="D13:H13"/>
    <mergeCell ref="J31:L31"/>
    <mergeCell ref="G6:H6"/>
    <mergeCell ref="L6:N6"/>
    <mergeCell ref="G3:H3"/>
    <mergeCell ref="J21:L21"/>
    <mergeCell ref="B24:D24"/>
    <mergeCell ref="E25:G25"/>
    <mergeCell ref="B33:D33"/>
    <mergeCell ref="H32:I32"/>
    <mergeCell ref="B32:D32"/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</mergeCells>
  <hyperlinks>
    <hyperlink xmlns:r="http://schemas.openxmlformats.org/officeDocument/2006/relationships" ref="B3" display="견적서" r:id="rId1"/>
  </hyperlinks>
  <printOptions horizontalCentered="1"/>
  <pageMargins left="0.7874015748031497" right="0.7874015748031497" top="0.7874015748031497" bottom="0.7874015748031497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고라니</dc:creator>
  <dc:title xmlns:dc="http://purl.org/dc/elements/1.1/">견적서</dc:title>
  <dcterms:created xmlns:dcterms="http://purl.org/dc/terms/" xmlns:xsi="http://www.w3.org/2001/XMLSchema-instance" xsi:type="dcterms:W3CDTF">2008-04-22T07:05:30Z</dcterms:created>
  <dcterms:modified xmlns:dcterms="http://purl.org/dc/terms/" xmlns:xsi="http://www.w3.org/2001/XMLSchema-instance" xsi:type="dcterms:W3CDTF">2026-07-01T07:37:59Z</dcterms:modified>
  <cp:lastModifiedBy>고라니</cp:lastModifiedBy>
  <cp:lastPrinted>2021-09-23T07:45:53Z</cp:lastPrinted>
</cp:coreProperties>
</file>