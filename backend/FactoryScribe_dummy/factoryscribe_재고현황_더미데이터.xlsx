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FM-Lab10\Desktop\FactoryScribe_dummy\"/>
    </mc:Choice>
  </mc:AlternateContent>
  <xr:revisionPtr revIDLastSave="0" documentId="13_ncr:1_{13125734-45DE-4184-A1D1-0677F412FD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재고현황" sheetId="1" r:id="rId1"/>
    <sheet name="대시보드_지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4" i="2"/>
  <c r="R44" i="1"/>
  <c r="N44" i="1"/>
  <c r="M44" i="1"/>
  <c r="R43" i="1"/>
  <c r="N43" i="1"/>
  <c r="M43" i="1"/>
  <c r="R42" i="1"/>
  <c r="N42" i="1"/>
  <c r="M42" i="1"/>
  <c r="R41" i="1"/>
  <c r="N41" i="1"/>
  <c r="M41" i="1"/>
  <c r="R40" i="1"/>
  <c r="N40" i="1"/>
  <c r="M40" i="1"/>
  <c r="R39" i="1"/>
  <c r="N39" i="1"/>
  <c r="M39" i="1"/>
  <c r="R38" i="1"/>
  <c r="N38" i="1"/>
  <c r="M38" i="1"/>
  <c r="R37" i="1"/>
  <c r="N37" i="1"/>
  <c r="M37" i="1"/>
  <c r="R36" i="1"/>
  <c r="N36" i="1"/>
  <c r="M36" i="1"/>
  <c r="R35" i="1"/>
  <c r="N35" i="1"/>
  <c r="M35" i="1"/>
  <c r="R34" i="1"/>
  <c r="N34" i="1"/>
  <c r="M34" i="1"/>
  <c r="R33" i="1"/>
  <c r="N33" i="1"/>
  <c r="M33" i="1"/>
  <c r="R32" i="1"/>
  <c r="N32" i="1"/>
  <c r="M32" i="1"/>
  <c r="R31" i="1"/>
  <c r="N31" i="1"/>
  <c r="M31" i="1"/>
  <c r="R30" i="1"/>
  <c r="N30" i="1"/>
  <c r="M30" i="1"/>
  <c r="R29" i="1"/>
  <c r="N29" i="1"/>
  <c r="M29" i="1"/>
  <c r="R28" i="1"/>
  <c r="N28" i="1"/>
  <c r="M28" i="1"/>
  <c r="R27" i="1"/>
  <c r="N27" i="1"/>
  <c r="M27" i="1"/>
  <c r="R26" i="1"/>
  <c r="N26" i="1"/>
  <c r="M26" i="1"/>
  <c r="R25" i="1"/>
  <c r="N25" i="1"/>
  <c r="M25" i="1"/>
  <c r="R24" i="1"/>
  <c r="N24" i="1"/>
  <c r="M24" i="1"/>
  <c r="R23" i="1"/>
  <c r="N23" i="1"/>
  <c r="M23" i="1"/>
  <c r="R22" i="1"/>
  <c r="N22" i="1"/>
  <c r="M22" i="1"/>
  <c r="R21" i="1"/>
  <c r="N21" i="1"/>
  <c r="M21" i="1"/>
  <c r="R20" i="1"/>
  <c r="N20" i="1"/>
  <c r="M20" i="1"/>
  <c r="R19" i="1"/>
  <c r="N19" i="1"/>
  <c r="M19" i="1"/>
  <c r="R18" i="1"/>
  <c r="N18" i="1"/>
  <c r="M18" i="1"/>
  <c r="R17" i="1"/>
  <c r="N17" i="1"/>
  <c r="M17" i="1"/>
  <c r="R16" i="1"/>
  <c r="N16" i="1"/>
  <c r="M16" i="1"/>
  <c r="R15" i="1"/>
  <c r="N15" i="1"/>
  <c r="M15" i="1"/>
  <c r="R14" i="1"/>
  <c r="N14" i="1"/>
  <c r="M14" i="1"/>
  <c r="R13" i="1"/>
  <c r="N13" i="1"/>
  <c r="M13" i="1"/>
  <c r="R12" i="1"/>
  <c r="N12" i="1"/>
  <c r="M12" i="1"/>
  <c r="R11" i="1"/>
  <c r="N11" i="1"/>
  <c r="M11" i="1"/>
  <c r="R10" i="1"/>
  <c r="N10" i="1"/>
  <c r="M10" i="1"/>
  <c r="R9" i="1"/>
  <c r="N9" i="1"/>
  <c r="M9" i="1"/>
  <c r="R8" i="1"/>
  <c r="N8" i="1"/>
  <c r="M8" i="1"/>
  <c r="R7" i="1"/>
  <c r="N7" i="1"/>
  <c r="M7" i="1"/>
  <c r="R6" i="1"/>
  <c r="N6" i="1"/>
  <c r="M6" i="1"/>
  <c r="R5" i="1"/>
  <c r="N5" i="1"/>
  <c r="M5" i="1"/>
  <c r="B7" i="2" l="1"/>
  <c r="B9" i="2"/>
  <c r="B6" i="2"/>
  <c r="B8" i="2"/>
</calcChain>
</file>

<file path=xl/sharedStrings.xml><?xml version="1.0" encoding="utf-8"?>
<sst xmlns="http://schemas.openxmlformats.org/spreadsheetml/2006/main" count="401" uniqueCount="179">
  <si>
    <t>FactoryScribe 더미 데이터 - 재고현황</t>
  </si>
  <si>
    <t>재고 잔여량, 부족 재고, 부품가격 상승률, 예상 소진일 계산 테스트용 데이터입니다.</t>
  </si>
  <si>
    <t>품목코드</t>
  </si>
  <si>
    <t>품목명</t>
  </si>
  <si>
    <t>카테고리</t>
  </si>
  <si>
    <t>규격</t>
  </si>
  <si>
    <t>단위</t>
  </si>
  <si>
    <t>공급사</t>
  </si>
  <si>
    <t>현재고</t>
  </si>
  <si>
    <t>안전재고</t>
  </si>
  <si>
    <t>적정재고</t>
  </si>
  <si>
    <t>평균월사용량</t>
  </si>
  <si>
    <t>현재단가</t>
  </si>
  <si>
    <t>전월단가</t>
  </si>
  <si>
    <t>가격상승률</t>
  </si>
  <si>
    <t>재고상태</t>
  </si>
  <si>
    <t>예상소진일</t>
  </si>
  <si>
    <t>창고위치</t>
  </si>
  <si>
    <t>최종입고일</t>
  </si>
  <si>
    <t>비고</t>
  </si>
  <si>
    <t>FS-RM-001</t>
  </si>
  <si>
    <t>컨트롤 PCB</t>
  </si>
  <si>
    <t>고내열-11</t>
  </si>
  <si>
    <t>ROLL</t>
  </si>
  <si>
    <t>한빛전장</t>
  </si>
  <si>
    <t>1창고-A1</t>
  </si>
  <si>
    <t>FS-PK-002</t>
  </si>
  <si>
    <t>서보 모터</t>
  </si>
  <si>
    <t>A형-12</t>
  </si>
  <si>
    <t>대성정밀</t>
  </si>
  <si>
    <t>1창고-A2</t>
  </si>
  <si>
    <t>안전재고 미만</t>
  </si>
  <si>
    <t>FS-PN-003</t>
  </si>
  <si>
    <t>알루미늄 브라켓</t>
  </si>
  <si>
    <t>소모품</t>
  </si>
  <si>
    <t>A형-13</t>
  </si>
  <si>
    <t>M</t>
  </si>
  <si>
    <t>베트남파트너스</t>
  </si>
  <si>
    <t>2창고-B1</t>
  </si>
  <si>
    <t>FS-MC-004</t>
  </si>
  <si>
    <t>M3 육각볼트</t>
  </si>
  <si>
    <t>포장재</t>
  </si>
  <si>
    <t>A형-14</t>
  </si>
  <si>
    <t>유니텍소재</t>
  </si>
  <si>
    <t>2창고-B3</t>
  </si>
  <si>
    <t>FS-MC-005</t>
  </si>
  <si>
    <t>리니어 가이드</t>
  </si>
  <si>
    <t>원자재</t>
  </si>
  <si>
    <t>방수-15</t>
  </si>
  <si>
    <t>SET</t>
  </si>
  <si>
    <t>동양패키징</t>
  </si>
  <si>
    <t>3창고-C2</t>
  </si>
  <si>
    <t>FS-RM-006</t>
  </si>
  <si>
    <t>전원 케이블</t>
  </si>
  <si>
    <t>고내열-16</t>
  </si>
  <si>
    <t>세명산업</t>
  </si>
  <si>
    <t>외주창고-VN</t>
  </si>
  <si>
    <t>FS-PN-007</t>
  </si>
  <si>
    <t>스위칭 전원공급기</t>
  </si>
  <si>
    <t>A형-17</t>
  </si>
  <si>
    <t>KG</t>
  </si>
  <si>
    <t>K-Parts</t>
  </si>
  <si>
    <t>FS-RM-008</t>
  </si>
  <si>
    <t>근접센서</t>
  </si>
  <si>
    <t>표준-18</t>
  </si>
  <si>
    <t>FS-EL-009</t>
  </si>
  <si>
    <t>실리콘 패킹</t>
  </si>
  <si>
    <t>방수-19</t>
  </si>
  <si>
    <t>BOX</t>
  </si>
  <si>
    <t>FS-PN-010</t>
  </si>
  <si>
    <t>박스 라벨</t>
  </si>
  <si>
    <t>방수-20</t>
  </si>
  <si>
    <t>FS-PK-011</t>
  </si>
  <si>
    <t>포장 완충재</t>
  </si>
  <si>
    <t>A형-21</t>
  </si>
  <si>
    <t>FS-EL-012</t>
  </si>
  <si>
    <t>스테인리스 샤프트</t>
  </si>
  <si>
    <t>A형-22</t>
  </si>
  <si>
    <t>EA</t>
  </si>
  <si>
    <t>FS-EL-013</t>
  </si>
  <si>
    <t>공압 실린더</t>
  </si>
  <si>
    <t>고내열-23</t>
  </si>
  <si>
    <t>FS-EL-014</t>
  </si>
  <si>
    <t>솔레노이드 밸브</t>
  </si>
  <si>
    <t>B형-24</t>
  </si>
  <si>
    <t>FS-PK-015</t>
  </si>
  <si>
    <t>터미널 블록</t>
  </si>
  <si>
    <t>고내열-25</t>
  </si>
  <si>
    <t>FS-RM-016</t>
  </si>
  <si>
    <t>릴레이 모듈</t>
  </si>
  <si>
    <t>표준-26</t>
  </si>
  <si>
    <t>FS-MC-017</t>
  </si>
  <si>
    <t>ABS 하우징</t>
  </si>
  <si>
    <t>고내열-27</t>
  </si>
  <si>
    <t>FS-EL-018</t>
  </si>
  <si>
    <t>동 부스바</t>
  </si>
  <si>
    <t>A형-28</t>
  </si>
  <si>
    <t>FS-EL-019</t>
  </si>
  <si>
    <t>엔코더 케이블</t>
  </si>
  <si>
    <t>방수-29</t>
  </si>
  <si>
    <t>FS-MC-020</t>
  </si>
  <si>
    <t>열수축 튜브</t>
  </si>
  <si>
    <t>고내열-30</t>
  </si>
  <si>
    <t>재고 소진 임박</t>
  </si>
  <si>
    <t>FS-EL-021</t>
  </si>
  <si>
    <t>베어링 608ZZ</t>
  </si>
  <si>
    <t>A형-31</t>
  </si>
  <si>
    <t>FS-PN-022</t>
  </si>
  <si>
    <t>기어 세트</t>
  </si>
  <si>
    <t>B형-32</t>
  </si>
  <si>
    <t>FS-MC-023</t>
  </si>
  <si>
    <t>와셔 세트</t>
  </si>
  <si>
    <t>고내열-33</t>
  </si>
  <si>
    <t>FS-EL-024</t>
  </si>
  <si>
    <t>접지선</t>
  </si>
  <si>
    <t>B형-34</t>
  </si>
  <si>
    <t>FS-RM-025</t>
  </si>
  <si>
    <t>메인 프레임</t>
  </si>
  <si>
    <t>방수-35</t>
  </si>
  <si>
    <t>FS-EL-026</t>
  </si>
  <si>
    <t>고정 플레이트</t>
  </si>
  <si>
    <t>고내열-36</t>
  </si>
  <si>
    <t>FS-EL-027</t>
  </si>
  <si>
    <t>커넥터 12핀</t>
  </si>
  <si>
    <t>표준-37</t>
  </si>
  <si>
    <t>FS-EL-028</t>
  </si>
  <si>
    <t>LCD 패널</t>
  </si>
  <si>
    <t>고내열-38</t>
  </si>
  <si>
    <t>FS-PN-029</t>
  </si>
  <si>
    <t>방열판</t>
  </si>
  <si>
    <t>고내열-39</t>
  </si>
  <si>
    <t>FS-EL-030</t>
  </si>
  <si>
    <t>퓨즈 홀더</t>
  </si>
  <si>
    <t>표준-40</t>
  </si>
  <si>
    <t>FS-RM-031</t>
  </si>
  <si>
    <t>스프링 핀</t>
  </si>
  <si>
    <t>고내열-41</t>
  </si>
  <si>
    <t>FS-MC-032</t>
  </si>
  <si>
    <t>케이블 타이</t>
  </si>
  <si>
    <t>방수-42</t>
  </si>
  <si>
    <t>FS-PK-033</t>
  </si>
  <si>
    <t>절연 테이프</t>
  </si>
  <si>
    <t>A형-43</t>
  </si>
  <si>
    <t>FS-EL-034</t>
  </si>
  <si>
    <t>고무 풋</t>
  </si>
  <si>
    <t>A형-44</t>
  </si>
  <si>
    <t>FS-MC-035</t>
  </si>
  <si>
    <t>스테퍼 드라이버</t>
  </si>
  <si>
    <t>A형-45</t>
  </si>
  <si>
    <t>FS-PK-036</t>
  </si>
  <si>
    <t>토크 리미터</t>
  </si>
  <si>
    <t>A형-46</t>
  </si>
  <si>
    <t>FS-PN-037</t>
  </si>
  <si>
    <t>에어 피팅</t>
  </si>
  <si>
    <t>방수-47</t>
  </si>
  <si>
    <t>FS-PN-038</t>
  </si>
  <si>
    <t>윤활 그리스</t>
  </si>
  <si>
    <t>방수-48</t>
  </si>
  <si>
    <t>FS-RM-039</t>
  </si>
  <si>
    <t>QR 라벨지</t>
  </si>
  <si>
    <t>표준-49</t>
  </si>
  <si>
    <t>FS-EL-040</t>
  </si>
  <si>
    <t>출하 박스</t>
  </si>
  <si>
    <t>방수-50</t>
  </si>
  <si>
    <t>재고 대시보드 계산 예시</t>
  </si>
  <si>
    <t>지표</t>
  </si>
  <si>
    <t>값</t>
  </si>
  <si>
    <t>활용 메모</t>
  </si>
  <si>
    <t>전체 품목 수</t>
  </si>
  <si>
    <t>FactoryScribe 메인 화면에서 재고 잔여량, 부족 재고, 부품가격 상승률, 생산품 실거래량 같은 지표를 계산할 때 사용할 수 있는 더미 원본입니다. 실제 서비스에서는 이 파일을 파싱해 inventory_items 같은 구조화 테이블로 저장한 뒤 대시보드 값을 계산하는 방식이 안전합니다.</t>
  </si>
  <si>
    <t>총 현재고 수량</t>
  </si>
  <si>
    <t>부족 재고 품목 수</t>
  </si>
  <si>
    <t>주의 재고 품목 수</t>
  </si>
  <si>
    <t>평균 가격 상승률</t>
  </si>
  <si>
    <t>10% 이상 상승 품목 수</t>
  </si>
  <si>
    <t>부자재</t>
  </si>
  <si>
    <t>전년도 사용 수량</t>
    <phoneticPr fontId="7" type="noConversion"/>
  </si>
  <si>
    <t>현재 잔여 수량</t>
    <phoneticPr fontId="7" type="noConversion"/>
  </si>
  <si>
    <t>이번년도 예상 수량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</si>
</sst>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8">
    <font>
      <sz val="11"/>
      <name val="Carlito"/>
    </font>
    <font>
      <b/>
      <sz val="16"/>
      <color rgb="FFFFFFFF"/>
      <name val="Carlito"/>
    </font>
    <font>
      <sz val="11"/>
      <color rgb="FF475569"/>
      <name val="Carlito"/>
    </font>
    <font>
      <b/>
      <sz val="11"/>
      <color rgb="FF1F2937"/>
      <name val="Carlito"/>
    </font>
    <font>
      <sz val="10"/>
      <name val="Carlito"/>
    </font>
    <font>
      <sz val="11"/>
      <color rgb="FF334155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3" fillId="4" borderId="1" xfId="1" applyFont="1" applyFill="1" applyBorder="1" applyAlignment="1">
      <alignment horizontal="center"/>
    </xf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0" borderId="5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3" fontId="4" fillId="0" borderId="3" xfId="1" applyNumberFormat="1" applyFont="1" applyBorder="1"/>
    <xf numFmtId="3" fontId="4" fillId="0" borderId="6" xfId="1" applyNumberFormat="1" applyFont="1" applyBorder="1"/>
    <xf numFmtId="3" fontId="4" fillId="0" borderId="9" xfId="1" applyNumberFormat="1" applyFont="1" applyBorder="1"/>
    <xf numFmtId="176" fontId="4" fillId="0" borderId="3" xfId="1" applyNumberFormat="1" applyFont="1" applyBorder="1"/>
    <xf numFmtId="176" fontId="4" fillId="0" borderId="6" xfId="1" applyNumberFormat="1" applyFont="1" applyBorder="1"/>
    <xf numFmtId="176" fontId="4" fillId="0" borderId="9" xfId="1" applyNumberFormat="1" applyFont="1" applyBorder="1"/>
    <xf numFmtId="177" fontId="4" fillId="0" borderId="3" xfId="1" applyNumberFormat="1" applyFont="1" applyBorder="1"/>
    <xf numFmtId="177" fontId="4" fillId="0" borderId="6" xfId="1" applyNumberFormat="1" applyFont="1" applyBorder="1"/>
    <xf numFmtId="177" fontId="4" fillId="0" borderId="9" xfId="1" applyNumberFormat="1" applyFont="1" applyBorder="1"/>
    <xf numFmtId="3" fontId="4" fillId="0" borderId="4" xfId="1" applyNumberFormat="1" applyFont="1" applyBorder="1"/>
    <xf numFmtId="3" fontId="4" fillId="0" borderId="7" xfId="1" applyNumberFormat="1" applyFont="1" applyBorder="1"/>
    <xf numFmtId="176" fontId="4" fillId="0" borderId="7" xfId="1" applyNumberFormat="1" applyFont="1" applyBorder="1"/>
    <xf numFmtId="3" fontId="4" fillId="0" borderId="10" xfId="1" applyNumberFormat="1" applyFont="1" applyBorder="1"/>
    <xf numFmtId="0" fontId="3" fillId="4" borderId="1" xfId="1" applyFont="1" applyFill="1" applyBorder="1" applyAlignment="1">
      <alignment horizontal="center"/>
    </xf>
    <xf numFmtId="0" fontId="1" fillId="2" borderId="0" xfId="1" applyFont="1" applyFill="1" applyAlignment="1">
      <alignment horizontal="left"/>
    </xf>
    <xf numFmtId="0" fontId="2" fillId="3" borderId="0" xfId="1" applyFont="1" applyFill="1"/>
    <xf numFmtId="0" fontId="3" fillId="4" borderId="1" xfId="1" applyFont="1" applyFill="1" applyBorder="1" applyAlignment="1">
      <alignment horizontal="center"/>
    </xf>
    <xf numFmtId="0" fontId="5" fillId="3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showGridLines="0" tabSelected="1" topLeftCell="M16" workbookViewId="0">
      <selection activeCell="B7" sqref="B7"/>
    </sheetView>
  </sheetViews>
  <sheetFormatPr defaultRowHeight="14.25"/>
  <cols>
    <col min="1" max="21" width="25.625" customWidth="1"/>
  </cols>
  <sheetData>
    <row r="1" spans="1:21" ht="20.25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  <c r="G1" s="25" t="s">
        <v>0</v>
      </c>
      <c r="H1" s="25" t="s">
        <v>0</v>
      </c>
      <c r="I1" s="25" t="s">
        <v>0</v>
      </c>
      <c r="J1" s="25" t="s">
        <v>0</v>
      </c>
      <c r="K1" s="25" t="s">
        <v>0</v>
      </c>
      <c r="L1" s="25" t="s">
        <v>0</v>
      </c>
      <c r="M1" s="25" t="s">
        <v>0</v>
      </c>
      <c r="N1" s="25" t="s">
        <v>0</v>
      </c>
      <c r="O1" s="25"/>
      <c r="P1" s="25"/>
      <c r="Q1" s="25"/>
      <c r="R1" s="25" t="s">
        <v>0</v>
      </c>
      <c r="S1" s="25" t="s">
        <v>0</v>
      </c>
      <c r="T1" s="25" t="s">
        <v>0</v>
      </c>
      <c r="U1" s="25" t="s">
        <v>0</v>
      </c>
    </row>
    <row r="2" spans="1:21">
      <c r="A2" s="26" t="s">
        <v>1</v>
      </c>
      <c r="B2" s="26" t="s">
        <v>1</v>
      </c>
      <c r="C2" s="26" t="s">
        <v>1</v>
      </c>
      <c r="D2" s="26" t="s">
        <v>1</v>
      </c>
      <c r="E2" s="26" t="s">
        <v>1</v>
      </c>
      <c r="F2" s="26" t="s">
        <v>1</v>
      </c>
      <c r="G2" s="26" t="s">
        <v>1</v>
      </c>
      <c r="H2" s="26" t="s">
        <v>1</v>
      </c>
      <c r="I2" s="26" t="s">
        <v>1</v>
      </c>
      <c r="J2" s="26" t="s">
        <v>1</v>
      </c>
      <c r="K2" s="26" t="s">
        <v>1</v>
      </c>
      <c r="L2" s="26" t="s">
        <v>1</v>
      </c>
      <c r="M2" s="26" t="s">
        <v>1</v>
      </c>
      <c r="N2" s="26" t="s">
        <v>1</v>
      </c>
      <c r="O2" s="26"/>
      <c r="P2" s="26"/>
      <c r="Q2" s="26"/>
      <c r="R2" s="26" t="s">
        <v>1</v>
      </c>
      <c r="S2" s="26" t="s">
        <v>1</v>
      </c>
      <c r="T2" s="26" t="s">
        <v>1</v>
      </c>
      <c r="U2" s="26" t="s">
        <v>1</v>
      </c>
    </row>
    <row r="4" spans="1:21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24" t="s">
        <v>176</v>
      </c>
      <c r="P4" s="24" t="s">
        <v>177</v>
      </c>
      <c r="Q4" s="24" t="s">
        <v>178</v>
      </c>
      <c r="R4" s="1" t="s">
        <v>16</v>
      </c>
      <c r="S4" s="1" t="s">
        <v>17</v>
      </c>
      <c r="T4" s="1" t="s">
        <v>18</v>
      </c>
      <c r="U4" s="1" t="s">
        <v>19</v>
      </c>
    </row>
    <row r="5" spans="1:21">
      <c r="A5" s="2" t="s">
        <v>20</v>
      </c>
      <c r="B5" s="3" t="s">
        <v>21</v>
      </c>
      <c r="C5" s="3" t="s">
        <v>175</v>
      </c>
      <c r="D5" s="3" t="s">
        <v>22</v>
      </c>
      <c r="E5" s="3" t="s">
        <v>23</v>
      </c>
      <c r="F5" s="3" t="s">
        <v>24</v>
      </c>
      <c r="G5" s="11">
        <v>153</v>
      </c>
      <c r="H5" s="11">
        <v>68</v>
      </c>
      <c r="I5" s="11">
        <v>121</v>
      </c>
      <c r="J5" s="11">
        <v>49</v>
      </c>
      <c r="K5" s="11">
        <v>73400</v>
      </c>
      <c r="L5" s="11">
        <v>65930</v>
      </c>
      <c r="M5" s="14">
        <f t="shared" ref="M5:M44" si="0">IF(L5=0,0,(K5-L5)/L5)</f>
        <v>0.11330198695586227</v>
      </c>
      <c r="N5" s="3" t="str">
        <f t="shared" ref="N5:N44" si="1">IF(G5&lt;H5,"부족",IF(G5&lt;H5*1.25,"주의","정상"))</f>
        <v>정상</v>
      </c>
      <c r="O5" s="3">
        <v>34625</v>
      </c>
      <c r="P5" s="3">
        <v>21079</v>
      </c>
      <c r="Q5" s="3">
        <v>33548</v>
      </c>
      <c r="R5" s="11">
        <f t="shared" ref="R5:R44" si="2">IF(J5=0,"",ROUND(G5/(J5/30),0))</f>
        <v>94</v>
      </c>
      <c r="S5" s="3" t="s">
        <v>25</v>
      </c>
      <c r="T5" s="17">
        <v>46149</v>
      </c>
      <c r="U5" s="4"/>
    </row>
    <row r="6" spans="1:21">
      <c r="A6" s="5" t="s">
        <v>26</v>
      </c>
      <c r="B6" s="6" t="s">
        <v>27</v>
      </c>
      <c r="C6" s="6" t="s">
        <v>175</v>
      </c>
      <c r="D6" s="6" t="s">
        <v>28</v>
      </c>
      <c r="E6" s="6" t="s">
        <v>23</v>
      </c>
      <c r="F6" s="6" t="s">
        <v>29</v>
      </c>
      <c r="G6" s="12">
        <v>55</v>
      </c>
      <c r="H6" s="12">
        <v>70</v>
      </c>
      <c r="I6" s="12">
        <v>147</v>
      </c>
      <c r="J6" s="12">
        <v>106</v>
      </c>
      <c r="K6" s="12">
        <v>66150</v>
      </c>
      <c r="L6" s="12">
        <v>58590</v>
      </c>
      <c r="M6" s="15">
        <f t="shared" si="0"/>
        <v>0.12903225806451613</v>
      </c>
      <c r="N6" s="6" t="str">
        <f t="shared" si="1"/>
        <v>부족</v>
      </c>
      <c r="O6" s="3">
        <v>39726</v>
      </c>
      <c r="P6" s="3">
        <v>26484</v>
      </c>
      <c r="Q6" s="3">
        <v>28755</v>
      </c>
      <c r="R6" s="12">
        <f t="shared" si="2"/>
        <v>16</v>
      </c>
      <c r="S6" s="6" t="s">
        <v>30</v>
      </c>
      <c r="T6" s="18">
        <v>46143</v>
      </c>
      <c r="U6" s="7" t="s">
        <v>31</v>
      </c>
    </row>
    <row r="7" spans="1:21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12">
        <v>119</v>
      </c>
      <c r="H7" s="12">
        <v>76</v>
      </c>
      <c r="I7" s="12">
        <v>137</v>
      </c>
      <c r="J7" s="12">
        <v>75</v>
      </c>
      <c r="K7" s="12">
        <v>55190</v>
      </c>
      <c r="L7" s="12">
        <v>55340</v>
      </c>
      <c r="M7" s="15">
        <f t="shared" si="0"/>
        <v>-2.7105168052041924E-3</v>
      </c>
      <c r="N7" s="6" t="str">
        <f t="shared" si="1"/>
        <v>정상</v>
      </c>
      <c r="O7" s="3">
        <v>39736</v>
      </c>
      <c r="P7" s="3">
        <v>25990</v>
      </c>
      <c r="Q7" s="3">
        <v>34217</v>
      </c>
      <c r="R7" s="12">
        <f t="shared" si="2"/>
        <v>48</v>
      </c>
      <c r="S7" s="6" t="s">
        <v>38</v>
      </c>
      <c r="T7" s="18">
        <v>46136</v>
      </c>
      <c r="U7" s="7"/>
    </row>
    <row r="8" spans="1:21">
      <c r="A8" s="5" t="s">
        <v>39</v>
      </c>
      <c r="B8" s="6" t="s">
        <v>40</v>
      </c>
      <c r="C8" s="6" t="s">
        <v>41</v>
      </c>
      <c r="D8" s="6" t="s">
        <v>42</v>
      </c>
      <c r="E8" s="6" t="s">
        <v>23</v>
      </c>
      <c r="F8" s="6" t="s">
        <v>43</v>
      </c>
      <c r="G8" s="12">
        <v>21</v>
      </c>
      <c r="H8" s="12">
        <v>46</v>
      </c>
      <c r="I8" s="12">
        <v>79</v>
      </c>
      <c r="J8" s="12">
        <v>65</v>
      </c>
      <c r="K8" s="12">
        <v>7000</v>
      </c>
      <c r="L8" s="12">
        <v>6790</v>
      </c>
      <c r="M8" s="15">
        <f t="shared" si="0"/>
        <v>3.0927835051546393E-2</v>
      </c>
      <c r="N8" s="6" t="str">
        <f t="shared" si="1"/>
        <v>부족</v>
      </c>
      <c r="O8" s="3">
        <v>37732</v>
      </c>
      <c r="P8" s="3">
        <v>21435</v>
      </c>
      <c r="Q8" s="3">
        <v>30686</v>
      </c>
      <c r="R8" s="12">
        <f t="shared" si="2"/>
        <v>10</v>
      </c>
      <c r="S8" s="6" t="s">
        <v>44</v>
      </c>
      <c r="T8" s="18">
        <v>46152</v>
      </c>
      <c r="U8" s="7" t="s">
        <v>31</v>
      </c>
    </row>
    <row r="9" spans="1:21">
      <c r="A9" s="5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12">
        <v>35</v>
      </c>
      <c r="H9" s="12">
        <v>48</v>
      </c>
      <c r="I9" s="12">
        <v>99</v>
      </c>
      <c r="J9" s="12">
        <v>45</v>
      </c>
      <c r="K9" s="12">
        <v>54530</v>
      </c>
      <c r="L9" s="12">
        <v>52760</v>
      </c>
      <c r="M9" s="15">
        <f t="shared" si="0"/>
        <v>3.3548142532221381E-2</v>
      </c>
      <c r="N9" s="6" t="str">
        <f t="shared" si="1"/>
        <v>부족</v>
      </c>
      <c r="O9" s="3">
        <v>39769</v>
      </c>
      <c r="P9" s="3">
        <v>21989</v>
      </c>
      <c r="Q9" s="3">
        <v>26095</v>
      </c>
      <c r="R9" s="12">
        <f t="shared" si="2"/>
        <v>23</v>
      </c>
      <c r="S9" s="6" t="s">
        <v>51</v>
      </c>
      <c r="T9" s="18">
        <v>46165</v>
      </c>
      <c r="U9" s="7" t="s">
        <v>31</v>
      </c>
    </row>
    <row r="10" spans="1:21">
      <c r="A10" s="5" t="s">
        <v>52</v>
      </c>
      <c r="B10" s="6" t="s">
        <v>53</v>
      </c>
      <c r="C10" s="6" t="s">
        <v>175</v>
      </c>
      <c r="D10" s="6" t="s">
        <v>54</v>
      </c>
      <c r="E10" s="6" t="s">
        <v>23</v>
      </c>
      <c r="F10" s="6" t="s">
        <v>55</v>
      </c>
      <c r="G10" s="12">
        <v>128</v>
      </c>
      <c r="H10" s="12">
        <v>62</v>
      </c>
      <c r="I10" s="12">
        <v>130</v>
      </c>
      <c r="J10" s="12">
        <v>60</v>
      </c>
      <c r="K10" s="12">
        <v>72470</v>
      </c>
      <c r="L10" s="12">
        <v>68630</v>
      </c>
      <c r="M10" s="15">
        <f t="shared" si="0"/>
        <v>5.5952207489436107E-2</v>
      </c>
      <c r="N10" s="6" t="str">
        <f t="shared" si="1"/>
        <v>정상</v>
      </c>
      <c r="O10" s="3">
        <v>39670</v>
      </c>
      <c r="P10" s="3">
        <v>22009</v>
      </c>
      <c r="Q10" s="3">
        <v>32283</v>
      </c>
      <c r="R10" s="12">
        <f t="shared" si="2"/>
        <v>64</v>
      </c>
      <c r="S10" s="6" t="s">
        <v>56</v>
      </c>
      <c r="T10" s="18">
        <v>46171</v>
      </c>
      <c r="U10" s="7"/>
    </row>
    <row r="11" spans="1:21">
      <c r="A11" s="5" t="s">
        <v>57</v>
      </c>
      <c r="B11" s="6" t="s">
        <v>58</v>
      </c>
      <c r="C11" s="6" t="s">
        <v>175</v>
      </c>
      <c r="D11" s="6" t="s">
        <v>59</v>
      </c>
      <c r="E11" s="6" t="s">
        <v>60</v>
      </c>
      <c r="F11" s="6" t="s">
        <v>61</v>
      </c>
      <c r="G11" s="12">
        <v>37</v>
      </c>
      <c r="H11" s="12">
        <v>27</v>
      </c>
      <c r="I11" s="12">
        <v>51</v>
      </c>
      <c r="J11" s="12">
        <v>44</v>
      </c>
      <c r="K11" s="12">
        <v>63830</v>
      </c>
      <c r="L11" s="12">
        <v>56190</v>
      </c>
      <c r="M11" s="15">
        <f t="shared" si="0"/>
        <v>0.13596725395977932</v>
      </c>
      <c r="N11" s="6" t="str">
        <f t="shared" si="1"/>
        <v>정상</v>
      </c>
      <c r="O11" s="3">
        <v>37216</v>
      </c>
      <c r="P11" s="3">
        <v>27749</v>
      </c>
      <c r="Q11" s="3">
        <v>29399</v>
      </c>
      <c r="R11" s="12">
        <f t="shared" si="2"/>
        <v>25</v>
      </c>
      <c r="S11" s="6" t="s">
        <v>25</v>
      </c>
      <c r="T11" s="18">
        <v>46194</v>
      </c>
      <c r="U11" s="7"/>
    </row>
    <row r="12" spans="1:21">
      <c r="A12" s="5" t="s">
        <v>62</v>
      </c>
      <c r="B12" s="6" t="s">
        <v>63</v>
      </c>
      <c r="C12" s="6" t="s">
        <v>175</v>
      </c>
      <c r="D12" s="6" t="s">
        <v>64</v>
      </c>
      <c r="E12" s="6" t="s">
        <v>23</v>
      </c>
      <c r="F12" s="6" t="s">
        <v>24</v>
      </c>
      <c r="G12" s="12">
        <v>13</v>
      </c>
      <c r="H12" s="12">
        <v>24</v>
      </c>
      <c r="I12" s="12">
        <v>60</v>
      </c>
      <c r="J12" s="12">
        <v>32</v>
      </c>
      <c r="K12" s="12">
        <v>19910</v>
      </c>
      <c r="L12" s="12">
        <v>17750</v>
      </c>
      <c r="M12" s="15">
        <f t="shared" si="0"/>
        <v>0.12169014084507042</v>
      </c>
      <c r="N12" s="6" t="str">
        <f t="shared" si="1"/>
        <v>부족</v>
      </c>
      <c r="O12" s="3">
        <v>36196</v>
      </c>
      <c r="P12" s="3">
        <v>28226</v>
      </c>
      <c r="Q12" s="3">
        <v>27347</v>
      </c>
      <c r="R12" s="12">
        <f t="shared" si="2"/>
        <v>12</v>
      </c>
      <c r="S12" s="6" t="s">
        <v>30</v>
      </c>
      <c r="T12" s="18">
        <v>46183</v>
      </c>
      <c r="U12" s="7" t="s">
        <v>31</v>
      </c>
    </row>
    <row r="13" spans="1:21">
      <c r="A13" s="5" t="s">
        <v>65</v>
      </c>
      <c r="B13" s="6" t="s">
        <v>66</v>
      </c>
      <c r="C13" s="6" t="s">
        <v>175</v>
      </c>
      <c r="D13" s="6" t="s">
        <v>67</v>
      </c>
      <c r="E13" s="6" t="s">
        <v>68</v>
      </c>
      <c r="F13" s="6" t="s">
        <v>29</v>
      </c>
      <c r="G13" s="12">
        <v>26</v>
      </c>
      <c r="H13" s="12">
        <v>17</v>
      </c>
      <c r="I13" s="12">
        <v>42</v>
      </c>
      <c r="J13" s="12">
        <v>11</v>
      </c>
      <c r="K13" s="12">
        <v>88470</v>
      </c>
      <c r="L13" s="12">
        <v>77540</v>
      </c>
      <c r="M13" s="15">
        <f t="shared" si="0"/>
        <v>0.14095950477173072</v>
      </c>
      <c r="N13" s="6" t="str">
        <f t="shared" si="1"/>
        <v>정상</v>
      </c>
      <c r="O13" s="3">
        <v>31261</v>
      </c>
      <c r="P13" s="3">
        <v>26659</v>
      </c>
      <c r="Q13" s="3">
        <v>23221</v>
      </c>
      <c r="R13" s="12">
        <f t="shared" si="2"/>
        <v>71</v>
      </c>
      <c r="S13" s="6" t="s">
        <v>38</v>
      </c>
      <c r="T13" s="18">
        <v>46186</v>
      </c>
      <c r="U13" s="7"/>
    </row>
    <row r="14" spans="1:21">
      <c r="A14" s="5" t="s">
        <v>69</v>
      </c>
      <c r="B14" s="6" t="s">
        <v>70</v>
      </c>
      <c r="C14" s="6" t="s">
        <v>34</v>
      </c>
      <c r="D14" s="6" t="s">
        <v>71</v>
      </c>
      <c r="E14" s="6" t="s">
        <v>36</v>
      </c>
      <c r="F14" s="6" t="s">
        <v>37</v>
      </c>
      <c r="G14" s="12">
        <v>75</v>
      </c>
      <c r="H14" s="12">
        <v>32</v>
      </c>
      <c r="I14" s="12">
        <v>70</v>
      </c>
      <c r="J14" s="12">
        <v>38</v>
      </c>
      <c r="K14" s="12">
        <v>87610</v>
      </c>
      <c r="L14" s="12">
        <v>84690</v>
      </c>
      <c r="M14" s="15">
        <f t="shared" si="0"/>
        <v>3.447868697603023E-2</v>
      </c>
      <c r="N14" s="6" t="str">
        <f t="shared" si="1"/>
        <v>정상</v>
      </c>
      <c r="O14" s="3">
        <v>39219</v>
      </c>
      <c r="P14" s="3">
        <v>25226</v>
      </c>
      <c r="Q14" s="3">
        <v>26861</v>
      </c>
      <c r="R14" s="12">
        <f t="shared" si="2"/>
        <v>59</v>
      </c>
      <c r="S14" s="6" t="s">
        <v>44</v>
      </c>
      <c r="T14" s="18">
        <v>46165</v>
      </c>
      <c r="U14" s="7"/>
    </row>
    <row r="15" spans="1:21">
      <c r="A15" s="5" t="s">
        <v>72</v>
      </c>
      <c r="B15" s="6" t="s">
        <v>73</v>
      </c>
      <c r="C15" s="6" t="s">
        <v>41</v>
      </c>
      <c r="D15" s="6" t="s">
        <v>74</v>
      </c>
      <c r="E15" s="6" t="s">
        <v>68</v>
      </c>
      <c r="F15" s="6" t="s">
        <v>43</v>
      </c>
      <c r="G15" s="12">
        <v>36</v>
      </c>
      <c r="H15" s="12">
        <v>46</v>
      </c>
      <c r="I15" s="12">
        <v>84</v>
      </c>
      <c r="J15" s="12">
        <v>45</v>
      </c>
      <c r="K15" s="12">
        <v>57670</v>
      </c>
      <c r="L15" s="12">
        <v>56950</v>
      </c>
      <c r="M15" s="15">
        <f t="shared" si="0"/>
        <v>1.2642669007901668E-2</v>
      </c>
      <c r="N15" s="6" t="str">
        <f t="shared" si="1"/>
        <v>부족</v>
      </c>
      <c r="O15" s="3">
        <v>35977</v>
      </c>
      <c r="P15" s="3">
        <v>24136</v>
      </c>
      <c r="Q15" s="3">
        <v>31285</v>
      </c>
      <c r="R15" s="12">
        <f t="shared" si="2"/>
        <v>24</v>
      </c>
      <c r="S15" s="6" t="s">
        <v>51</v>
      </c>
      <c r="T15" s="18">
        <v>46181</v>
      </c>
      <c r="U15" s="7" t="s">
        <v>31</v>
      </c>
    </row>
    <row r="16" spans="1:21">
      <c r="A16" s="5" t="s">
        <v>75</v>
      </c>
      <c r="B16" s="6" t="s">
        <v>76</v>
      </c>
      <c r="C16" s="6" t="s">
        <v>47</v>
      </c>
      <c r="D16" s="6" t="s">
        <v>77</v>
      </c>
      <c r="E16" s="6" t="s">
        <v>78</v>
      </c>
      <c r="F16" s="6" t="s">
        <v>50</v>
      </c>
      <c r="G16" s="12">
        <v>179</v>
      </c>
      <c r="H16" s="12">
        <v>77</v>
      </c>
      <c r="I16" s="12">
        <v>183</v>
      </c>
      <c r="J16" s="12">
        <v>69</v>
      </c>
      <c r="K16" s="12">
        <v>19820</v>
      </c>
      <c r="L16" s="12">
        <v>19900</v>
      </c>
      <c r="M16" s="15">
        <f t="shared" si="0"/>
        <v>-4.0201005025125632E-3</v>
      </c>
      <c r="N16" s="6" t="str">
        <f t="shared" si="1"/>
        <v>정상</v>
      </c>
      <c r="O16" s="3">
        <v>31125</v>
      </c>
      <c r="P16" s="3">
        <v>23556</v>
      </c>
      <c r="Q16" s="3">
        <v>30266</v>
      </c>
      <c r="R16" s="12">
        <f t="shared" si="2"/>
        <v>78</v>
      </c>
      <c r="S16" s="6" t="s">
        <v>56</v>
      </c>
      <c r="T16" s="18">
        <v>46150</v>
      </c>
      <c r="U16" s="7"/>
    </row>
    <row r="17" spans="1:21">
      <c r="A17" s="5" t="s">
        <v>79</v>
      </c>
      <c r="B17" s="6" t="s">
        <v>80</v>
      </c>
      <c r="C17" s="6" t="s">
        <v>175</v>
      </c>
      <c r="D17" s="6" t="s">
        <v>81</v>
      </c>
      <c r="E17" s="6" t="s">
        <v>68</v>
      </c>
      <c r="F17" s="6" t="s">
        <v>55</v>
      </c>
      <c r="G17" s="12">
        <v>79</v>
      </c>
      <c r="H17" s="12">
        <v>35</v>
      </c>
      <c r="I17" s="12">
        <v>75</v>
      </c>
      <c r="J17" s="12">
        <v>38</v>
      </c>
      <c r="K17" s="12">
        <v>6490</v>
      </c>
      <c r="L17" s="12">
        <v>6410</v>
      </c>
      <c r="M17" s="15">
        <f t="shared" si="0"/>
        <v>1.2480499219968799E-2</v>
      </c>
      <c r="N17" s="6" t="str">
        <f t="shared" si="1"/>
        <v>정상</v>
      </c>
      <c r="O17" s="3">
        <v>33519</v>
      </c>
      <c r="P17" s="3">
        <v>26545</v>
      </c>
      <c r="Q17" s="3">
        <v>23238</v>
      </c>
      <c r="R17" s="12">
        <f t="shared" si="2"/>
        <v>62</v>
      </c>
      <c r="S17" s="6" t="s">
        <v>25</v>
      </c>
      <c r="T17" s="18">
        <v>46136</v>
      </c>
      <c r="U17" s="7"/>
    </row>
    <row r="18" spans="1:21">
      <c r="A18" s="5" t="s">
        <v>82</v>
      </c>
      <c r="B18" s="6" t="s">
        <v>83</v>
      </c>
      <c r="C18" s="6" t="s">
        <v>175</v>
      </c>
      <c r="D18" s="6" t="s">
        <v>84</v>
      </c>
      <c r="E18" s="6" t="s">
        <v>68</v>
      </c>
      <c r="F18" s="6" t="s">
        <v>61</v>
      </c>
      <c r="G18" s="12">
        <v>58</v>
      </c>
      <c r="H18" s="12">
        <v>78</v>
      </c>
      <c r="I18" s="12">
        <v>183</v>
      </c>
      <c r="J18" s="12">
        <v>73</v>
      </c>
      <c r="K18" s="12">
        <v>45850</v>
      </c>
      <c r="L18" s="12">
        <v>46220</v>
      </c>
      <c r="M18" s="15">
        <f t="shared" si="0"/>
        <v>-8.0051925573344871E-3</v>
      </c>
      <c r="N18" s="6" t="str">
        <f t="shared" si="1"/>
        <v>부족</v>
      </c>
      <c r="O18" s="3">
        <v>33562</v>
      </c>
      <c r="P18" s="3">
        <v>23391</v>
      </c>
      <c r="Q18" s="3">
        <v>31225</v>
      </c>
      <c r="R18" s="12">
        <f t="shared" si="2"/>
        <v>24</v>
      </c>
      <c r="S18" s="6" t="s">
        <v>30</v>
      </c>
      <c r="T18" s="18">
        <v>46163</v>
      </c>
      <c r="U18" s="7" t="s">
        <v>31</v>
      </c>
    </row>
    <row r="19" spans="1:21">
      <c r="A19" s="5" t="s">
        <v>85</v>
      </c>
      <c r="B19" s="6" t="s">
        <v>86</v>
      </c>
      <c r="C19" s="6" t="s">
        <v>175</v>
      </c>
      <c r="D19" s="6" t="s">
        <v>87</v>
      </c>
      <c r="E19" s="6" t="s">
        <v>68</v>
      </c>
      <c r="F19" s="6" t="s">
        <v>24</v>
      </c>
      <c r="G19" s="12">
        <v>19</v>
      </c>
      <c r="H19" s="12">
        <v>27</v>
      </c>
      <c r="I19" s="12">
        <v>67</v>
      </c>
      <c r="J19" s="12">
        <v>21</v>
      </c>
      <c r="K19" s="12">
        <v>59780</v>
      </c>
      <c r="L19" s="12">
        <v>61150</v>
      </c>
      <c r="M19" s="15">
        <f t="shared" si="0"/>
        <v>-2.2403924775143091E-2</v>
      </c>
      <c r="N19" s="6" t="str">
        <f t="shared" si="1"/>
        <v>부족</v>
      </c>
      <c r="O19" s="3">
        <v>39707</v>
      </c>
      <c r="P19" s="3">
        <v>21682</v>
      </c>
      <c r="Q19" s="3">
        <v>30375</v>
      </c>
      <c r="R19" s="12">
        <f t="shared" si="2"/>
        <v>27</v>
      </c>
      <c r="S19" s="6" t="s">
        <v>38</v>
      </c>
      <c r="T19" s="18">
        <v>46128</v>
      </c>
      <c r="U19" s="7" t="s">
        <v>31</v>
      </c>
    </row>
    <row r="20" spans="1:21">
      <c r="A20" s="5" t="s">
        <v>88</v>
      </c>
      <c r="B20" s="6" t="s">
        <v>89</v>
      </c>
      <c r="C20" s="6" t="s">
        <v>175</v>
      </c>
      <c r="D20" s="6" t="s">
        <v>90</v>
      </c>
      <c r="E20" s="6" t="s">
        <v>23</v>
      </c>
      <c r="F20" s="6" t="s">
        <v>29</v>
      </c>
      <c r="G20" s="12">
        <v>9</v>
      </c>
      <c r="H20" s="12">
        <v>22</v>
      </c>
      <c r="I20" s="12">
        <v>47</v>
      </c>
      <c r="J20" s="12">
        <v>27</v>
      </c>
      <c r="K20" s="12">
        <v>5960</v>
      </c>
      <c r="L20" s="12">
        <v>6080</v>
      </c>
      <c r="M20" s="15">
        <f t="shared" si="0"/>
        <v>-1.9736842105263157E-2</v>
      </c>
      <c r="N20" s="6" t="str">
        <f t="shared" si="1"/>
        <v>부족</v>
      </c>
      <c r="O20" s="3">
        <v>36104</v>
      </c>
      <c r="P20" s="3">
        <v>23439</v>
      </c>
      <c r="Q20" s="3">
        <v>31607</v>
      </c>
      <c r="R20" s="12">
        <f t="shared" si="2"/>
        <v>10</v>
      </c>
      <c r="S20" s="6" t="s">
        <v>44</v>
      </c>
      <c r="T20" s="18">
        <v>46142</v>
      </c>
      <c r="U20" s="7" t="s">
        <v>31</v>
      </c>
    </row>
    <row r="21" spans="1:21">
      <c r="A21" s="5" t="s">
        <v>91</v>
      </c>
      <c r="B21" s="6" t="s">
        <v>92</v>
      </c>
      <c r="C21" s="6" t="s">
        <v>34</v>
      </c>
      <c r="D21" s="6" t="s">
        <v>93</v>
      </c>
      <c r="E21" s="6" t="s">
        <v>36</v>
      </c>
      <c r="F21" s="6" t="s">
        <v>37</v>
      </c>
      <c r="G21" s="12">
        <v>78</v>
      </c>
      <c r="H21" s="12">
        <v>32</v>
      </c>
      <c r="I21" s="12">
        <v>62</v>
      </c>
      <c r="J21" s="12">
        <v>47</v>
      </c>
      <c r="K21" s="12">
        <v>1790</v>
      </c>
      <c r="L21" s="12">
        <v>1600</v>
      </c>
      <c r="M21" s="15">
        <f t="shared" si="0"/>
        <v>0.11874999999999999</v>
      </c>
      <c r="N21" s="6" t="str">
        <f t="shared" si="1"/>
        <v>정상</v>
      </c>
      <c r="O21" s="3">
        <v>35249</v>
      </c>
      <c r="P21" s="3">
        <v>28489</v>
      </c>
      <c r="Q21" s="3">
        <v>23177</v>
      </c>
      <c r="R21" s="12">
        <f t="shared" si="2"/>
        <v>50</v>
      </c>
      <c r="S21" s="6" t="s">
        <v>51</v>
      </c>
      <c r="T21" s="18">
        <v>46183</v>
      </c>
      <c r="U21" s="7"/>
    </row>
    <row r="22" spans="1:21">
      <c r="A22" s="5" t="s">
        <v>94</v>
      </c>
      <c r="B22" s="6" t="s">
        <v>95</v>
      </c>
      <c r="C22" s="6" t="s">
        <v>41</v>
      </c>
      <c r="D22" s="6" t="s">
        <v>96</v>
      </c>
      <c r="E22" s="6" t="s">
        <v>23</v>
      </c>
      <c r="F22" s="6" t="s">
        <v>43</v>
      </c>
      <c r="G22" s="12">
        <v>192</v>
      </c>
      <c r="H22" s="12">
        <v>82</v>
      </c>
      <c r="I22" s="12">
        <v>154</v>
      </c>
      <c r="J22" s="12">
        <v>88</v>
      </c>
      <c r="K22" s="12">
        <v>38230</v>
      </c>
      <c r="L22" s="12">
        <v>34030</v>
      </c>
      <c r="M22" s="15">
        <f t="shared" si="0"/>
        <v>0.12342051131354687</v>
      </c>
      <c r="N22" s="6" t="str">
        <f t="shared" si="1"/>
        <v>정상</v>
      </c>
      <c r="O22" s="3">
        <v>32406</v>
      </c>
      <c r="P22" s="3">
        <v>20261</v>
      </c>
      <c r="Q22" s="3">
        <v>23845</v>
      </c>
      <c r="R22" s="12">
        <f t="shared" si="2"/>
        <v>65</v>
      </c>
      <c r="S22" s="6" t="s">
        <v>56</v>
      </c>
      <c r="T22" s="18">
        <v>46140</v>
      </c>
      <c r="U22" s="7"/>
    </row>
    <row r="23" spans="1:21">
      <c r="A23" s="5" t="s">
        <v>97</v>
      </c>
      <c r="B23" s="6" t="s">
        <v>98</v>
      </c>
      <c r="C23" s="6" t="s">
        <v>47</v>
      </c>
      <c r="D23" s="6" t="s">
        <v>99</v>
      </c>
      <c r="E23" s="6" t="s">
        <v>23</v>
      </c>
      <c r="F23" s="6" t="s">
        <v>50</v>
      </c>
      <c r="G23" s="12">
        <v>104</v>
      </c>
      <c r="H23" s="12">
        <v>58</v>
      </c>
      <c r="I23" s="12">
        <v>130</v>
      </c>
      <c r="J23" s="12">
        <v>41</v>
      </c>
      <c r="K23" s="12">
        <v>77320</v>
      </c>
      <c r="L23" s="12">
        <v>73870</v>
      </c>
      <c r="M23" s="15">
        <f t="shared" si="0"/>
        <v>4.6703668607012319E-2</v>
      </c>
      <c r="N23" s="6" t="str">
        <f t="shared" si="1"/>
        <v>정상</v>
      </c>
      <c r="O23" s="3">
        <v>36590</v>
      </c>
      <c r="P23" s="3">
        <v>27575</v>
      </c>
      <c r="Q23" s="3">
        <v>32928</v>
      </c>
      <c r="R23" s="12">
        <f t="shared" si="2"/>
        <v>76</v>
      </c>
      <c r="S23" s="6" t="s">
        <v>25</v>
      </c>
      <c r="T23" s="18">
        <v>46154</v>
      </c>
      <c r="U23" s="7"/>
    </row>
    <row r="24" spans="1:21">
      <c r="A24" s="5" t="s">
        <v>100</v>
      </c>
      <c r="B24" s="6" t="s">
        <v>101</v>
      </c>
      <c r="C24" s="6" t="s">
        <v>175</v>
      </c>
      <c r="D24" s="6" t="s">
        <v>102</v>
      </c>
      <c r="E24" s="6" t="s">
        <v>68</v>
      </c>
      <c r="F24" s="6" t="s">
        <v>55</v>
      </c>
      <c r="G24" s="12">
        <v>47</v>
      </c>
      <c r="H24" s="12">
        <v>39</v>
      </c>
      <c r="I24" s="12">
        <v>98</v>
      </c>
      <c r="J24" s="12">
        <v>31</v>
      </c>
      <c r="K24" s="12">
        <v>19770</v>
      </c>
      <c r="L24" s="12">
        <v>18890</v>
      </c>
      <c r="M24" s="15">
        <f t="shared" si="0"/>
        <v>4.6585494970884066E-2</v>
      </c>
      <c r="N24" s="6" t="str">
        <f t="shared" si="1"/>
        <v>주의</v>
      </c>
      <c r="O24" s="3">
        <v>30633</v>
      </c>
      <c r="P24" s="3">
        <v>26058</v>
      </c>
      <c r="Q24" s="3">
        <v>26208</v>
      </c>
      <c r="R24" s="12">
        <f t="shared" si="2"/>
        <v>45</v>
      </c>
      <c r="S24" s="6" t="s">
        <v>30</v>
      </c>
      <c r="T24" s="18">
        <v>46134</v>
      </c>
      <c r="U24" s="7" t="s">
        <v>103</v>
      </c>
    </row>
    <row r="25" spans="1:21">
      <c r="A25" s="5" t="s">
        <v>104</v>
      </c>
      <c r="B25" s="6" t="s">
        <v>105</v>
      </c>
      <c r="C25" s="6" t="s">
        <v>175</v>
      </c>
      <c r="D25" s="6" t="s">
        <v>106</v>
      </c>
      <c r="E25" s="6" t="s">
        <v>36</v>
      </c>
      <c r="F25" s="6" t="s">
        <v>61</v>
      </c>
      <c r="G25" s="12">
        <v>33</v>
      </c>
      <c r="H25" s="12">
        <v>60</v>
      </c>
      <c r="I25" s="12">
        <v>110</v>
      </c>
      <c r="J25" s="12">
        <v>51</v>
      </c>
      <c r="K25" s="12">
        <v>64990</v>
      </c>
      <c r="L25" s="12">
        <v>58040</v>
      </c>
      <c r="M25" s="15">
        <f t="shared" si="0"/>
        <v>0.11974500344589938</v>
      </c>
      <c r="N25" s="6" t="str">
        <f t="shared" si="1"/>
        <v>부족</v>
      </c>
      <c r="O25" s="3">
        <v>36372</v>
      </c>
      <c r="P25" s="3">
        <v>20933</v>
      </c>
      <c r="Q25" s="3">
        <v>34905</v>
      </c>
      <c r="R25" s="12">
        <f t="shared" si="2"/>
        <v>19</v>
      </c>
      <c r="S25" s="6" t="s">
        <v>38</v>
      </c>
      <c r="T25" s="18">
        <v>46179</v>
      </c>
      <c r="U25" s="7" t="s">
        <v>31</v>
      </c>
    </row>
    <row r="26" spans="1:21">
      <c r="A26" s="5" t="s">
        <v>107</v>
      </c>
      <c r="B26" s="6" t="s">
        <v>108</v>
      </c>
      <c r="C26" s="6" t="s">
        <v>175</v>
      </c>
      <c r="D26" s="6" t="s">
        <v>109</v>
      </c>
      <c r="E26" s="6" t="s">
        <v>49</v>
      </c>
      <c r="F26" s="6" t="s">
        <v>24</v>
      </c>
      <c r="G26" s="12">
        <v>115</v>
      </c>
      <c r="H26" s="12">
        <v>55</v>
      </c>
      <c r="I26" s="12">
        <v>133</v>
      </c>
      <c r="J26" s="12">
        <v>89</v>
      </c>
      <c r="K26" s="12">
        <v>12780</v>
      </c>
      <c r="L26" s="12">
        <v>12690</v>
      </c>
      <c r="M26" s="15">
        <f t="shared" si="0"/>
        <v>7.0921985815602835E-3</v>
      </c>
      <c r="N26" s="6" t="str">
        <f t="shared" si="1"/>
        <v>정상</v>
      </c>
      <c r="O26" s="3">
        <v>39729</v>
      </c>
      <c r="P26" s="3">
        <v>20394</v>
      </c>
      <c r="Q26" s="3">
        <v>28286</v>
      </c>
      <c r="R26" s="12">
        <f t="shared" si="2"/>
        <v>39</v>
      </c>
      <c r="S26" s="6" t="s">
        <v>44</v>
      </c>
      <c r="T26" s="18">
        <v>46187</v>
      </c>
      <c r="U26" s="7"/>
    </row>
    <row r="27" spans="1:21">
      <c r="A27" s="5" t="s">
        <v>110</v>
      </c>
      <c r="B27" s="6" t="s">
        <v>111</v>
      </c>
      <c r="C27" s="6" t="s">
        <v>175</v>
      </c>
      <c r="D27" s="6" t="s">
        <v>112</v>
      </c>
      <c r="E27" s="6" t="s">
        <v>78</v>
      </c>
      <c r="F27" s="6" t="s">
        <v>29</v>
      </c>
      <c r="G27" s="12">
        <v>92</v>
      </c>
      <c r="H27" s="12">
        <v>39</v>
      </c>
      <c r="I27" s="12">
        <v>74</v>
      </c>
      <c r="J27" s="12">
        <v>59</v>
      </c>
      <c r="K27" s="12">
        <v>40170</v>
      </c>
      <c r="L27" s="12">
        <v>36500</v>
      </c>
      <c r="M27" s="15">
        <f t="shared" si="0"/>
        <v>0.10054794520547945</v>
      </c>
      <c r="N27" s="6" t="str">
        <f t="shared" si="1"/>
        <v>정상</v>
      </c>
      <c r="O27" s="3">
        <v>37443</v>
      </c>
      <c r="P27" s="3">
        <v>21372</v>
      </c>
      <c r="Q27" s="3">
        <v>26246</v>
      </c>
      <c r="R27" s="12">
        <f t="shared" si="2"/>
        <v>47</v>
      </c>
      <c r="S27" s="6" t="s">
        <v>51</v>
      </c>
      <c r="T27" s="18">
        <v>46195</v>
      </c>
      <c r="U27" s="7"/>
    </row>
    <row r="28" spans="1:21">
      <c r="A28" s="5" t="s">
        <v>113</v>
      </c>
      <c r="B28" s="6" t="s">
        <v>114</v>
      </c>
      <c r="C28" s="6" t="s">
        <v>34</v>
      </c>
      <c r="D28" s="6" t="s">
        <v>115</v>
      </c>
      <c r="E28" s="6" t="s">
        <v>36</v>
      </c>
      <c r="F28" s="6" t="s">
        <v>37</v>
      </c>
      <c r="G28" s="12">
        <v>20</v>
      </c>
      <c r="H28" s="12">
        <v>22</v>
      </c>
      <c r="I28" s="12">
        <v>41</v>
      </c>
      <c r="J28" s="12">
        <v>15</v>
      </c>
      <c r="K28" s="12">
        <v>40220</v>
      </c>
      <c r="L28" s="12">
        <v>40530</v>
      </c>
      <c r="M28" s="15">
        <f t="shared" si="0"/>
        <v>-7.6486553170490995E-3</v>
      </c>
      <c r="N28" s="6" t="str">
        <f t="shared" si="1"/>
        <v>부족</v>
      </c>
      <c r="O28" s="3">
        <v>30730</v>
      </c>
      <c r="P28" s="3">
        <v>25303</v>
      </c>
      <c r="Q28" s="3">
        <v>24618</v>
      </c>
      <c r="R28" s="12">
        <f t="shared" si="2"/>
        <v>40</v>
      </c>
      <c r="S28" s="6" t="s">
        <v>56</v>
      </c>
      <c r="T28" s="18">
        <v>46201</v>
      </c>
      <c r="U28" s="7" t="s">
        <v>31</v>
      </c>
    </row>
    <row r="29" spans="1:21">
      <c r="A29" s="5" t="s">
        <v>116</v>
      </c>
      <c r="B29" s="6" t="s">
        <v>117</v>
      </c>
      <c r="C29" s="6" t="s">
        <v>41</v>
      </c>
      <c r="D29" s="6" t="s">
        <v>118</v>
      </c>
      <c r="E29" s="6" t="s">
        <v>23</v>
      </c>
      <c r="F29" s="6" t="s">
        <v>43</v>
      </c>
      <c r="G29" s="12">
        <v>100</v>
      </c>
      <c r="H29" s="12">
        <v>56</v>
      </c>
      <c r="I29" s="12">
        <v>102</v>
      </c>
      <c r="J29" s="12">
        <v>89</v>
      </c>
      <c r="K29" s="12">
        <v>60330</v>
      </c>
      <c r="L29" s="12">
        <v>54930</v>
      </c>
      <c r="M29" s="15">
        <f t="shared" si="0"/>
        <v>9.8306936100491529E-2</v>
      </c>
      <c r="N29" s="6" t="str">
        <f t="shared" si="1"/>
        <v>정상</v>
      </c>
      <c r="O29" s="3">
        <v>31860</v>
      </c>
      <c r="P29" s="3">
        <v>24240</v>
      </c>
      <c r="Q29" s="3">
        <v>22815</v>
      </c>
      <c r="R29" s="12">
        <f t="shared" si="2"/>
        <v>34</v>
      </c>
      <c r="S29" s="6" t="s">
        <v>25</v>
      </c>
      <c r="T29" s="18">
        <v>46168</v>
      </c>
      <c r="U29" s="7"/>
    </row>
    <row r="30" spans="1:21">
      <c r="A30" s="5" t="s">
        <v>119</v>
      </c>
      <c r="B30" s="6" t="s">
        <v>120</v>
      </c>
      <c r="C30" s="6" t="s">
        <v>47</v>
      </c>
      <c r="D30" s="6" t="s">
        <v>121</v>
      </c>
      <c r="E30" s="6" t="s">
        <v>23</v>
      </c>
      <c r="F30" s="6" t="s">
        <v>50</v>
      </c>
      <c r="G30" s="12">
        <v>61</v>
      </c>
      <c r="H30" s="12">
        <v>80</v>
      </c>
      <c r="I30" s="12">
        <v>191</v>
      </c>
      <c r="J30" s="12">
        <v>56</v>
      </c>
      <c r="K30" s="12">
        <v>84760</v>
      </c>
      <c r="L30" s="12">
        <v>83790</v>
      </c>
      <c r="M30" s="15">
        <f t="shared" si="0"/>
        <v>1.15765604487409E-2</v>
      </c>
      <c r="N30" s="6" t="str">
        <f t="shared" si="1"/>
        <v>부족</v>
      </c>
      <c r="O30" s="3">
        <v>35748</v>
      </c>
      <c r="P30" s="3">
        <v>24320</v>
      </c>
      <c r="Q30" s="3">
        <v>26956</v>
      </c>
      <c r="R30" s="12">
        <f t="shared" si="2"/>
        <v>33</v>
      </c>
      <c r="S30" s="6" t="s">
        <v>30</v>
      </c>
      <c r="T30" s="18">
        <v>46152</v>
      </c>
      <c r="U30" s="7" t="s">
        <v>31</v>
      </c>
    </row>
    <row r="31" spans="1:21">
      <c r="A31" s="5" t="s">
        <v>122</v>
      </c>
      <c r="B31" s="6" t="s">
        <v>123</v>
      </c>
      <c r="C31" s="6" t="s">
        <v>175</v>
      </c>
      <c r="D31" s="6" t="s">
        <v>124</v>
      </c>
      <c r="E31" s="6" t="s">
        <v>36</v>
      </c>
      <c r="F31" s="6" t="s">
        <v>55</v>
      </c>
      <c r="G31" s="12">
        <v>42</v>
      </c>
      <c r="H31" s="12">
        <v>63</v>
      </c>
      <c r="I31" s="12">
        <v>142</v>
      </c>
      <c r="J31" s="12">
        <v>76</v>
      </c>
      <c r="K31" s="12">
        <v>53270</v>
      </c>
      <c r="L31" s="12">
        <v>49300</v>
      </c>
      <c r="M31" s="15">
        <f t="shared" si="0"/>
        <v>8.0527383367139965E-2</v>
      </c>
      <c r="N31" s="6" t="str">
        <f t="shared" si="1"/>
        <v>부족</v>
      </c>
      <c r="O31" s="3">
        <v>37996</v>
      </c>
      <c r="P31" s="3">
        <v>21857</v>
      </c>
      <c r="Q31" s="3">
        <v>33402</v>
      </c>
      <c r="R31" s="12">
        <f t="shared" si="2"/>
        <v>17</v>
      </c>
      <c r="S31" s="6" t="s">
        <v>38</v>
      </c>
      <c r="T31" s="18">
        <v>46135</v>
      </c>
      <c r="U31" s="7" t="s">
        <v>31</v>
      </c>
    </row>
    <row r="32" spans="1:21">
      <c r="A32" s="5" t="s">
        <v>125</v>
      </c>
      <c r="B32" s="6" t="s">
        <v>126</v>
      </c>
      <c r="C32" s="6" t="s">
        <v>175</v>
      </c>
      <c r="D32" s="6" t="s">
        <v>127</v>
      </c>
      <c r="E32" s="6" t="s">
        <v>36</v>
      </c>
      <c r="F32" s="6" t="s">
        <v>61</v>
      </c>
      <c r="G32" s="12">
        <v>42</v>
      </c>
      <c r="H32" s="12">
        <v>42</v>
      </c>
      <c r="I32" s="12">
        <v>73</v>
      </c>
      <c r="J32" s="12">
        <v>65</v>
      </c>
      <c r="K32" s="12">
        <v>92610</v>
      </c>
      <c r="L32" s="12">
        <v>81700</v>
      </c>
      <c r="M32" s="15">
        <f t="shared" si="0"/>
        <v>0.13353733170134638</v>
      </c>
      <c r="N32" s="6" t="str">
        <f t="shared" si="1"/>
        <v>주의</v>
      </c>
      <c r="O32" s="3">
        <v>32188</v>
      </c>
      <c r="P32" s="3">
        <v>26954</v>
      </c>
      <c r="Q32" s="3">
        <v>28867</v>
      </c>
      <c r="R32" s="12">
        <f t="shared" si="2"/>
        <v>19</v>
      </c>
      <c r="S32" s="6" t="s">
        <v>44</v>
      </c>
      <c r="T32" s="18">
        <v>46175</v>
      </c>
      <c r="U32" s="7" t="s">
        <v>103</v>
      </c>
    </row>
    <row r="33" spans="1:21">
      <c r="A33" s="5" t="s">
        <v>128</v>
      </c>
      <c r="B33" s="6" t="s">
        <v>129</v>
      </c>
      <c r="C33" s="6" t="s">
        <v>175</v>
      </c>
      <c r="D33" s="6" t="s">
        <v>130</v>
      </c>
      <c r="E33" s="6" t="s">
        <v>23</v>
      </c>
      <c r="F33" s="6" t="s">
        <v>24</v>
      </c>
      <c r="G33" s="12">
        <v>25</v>
      </c>
      <c r="H33" s="12">
        <v>46</v>
      </c>
      <c r="I33" s="12">
        <v>88</v>
      </c>
      <c r="J33" s="12">
        <v>42</v>
      </c>
      <c r="K33" s="12">
        <v>50200</v>
      </c>
      <c r="L33" s="12">
        <v>50980</v>
      </c>
      <c r="M33" s="15">
        <f t="shared" si="0"/>
        <v>-1.5300117693213025E-2</v>
      </c>
      <c r="N33" s="6" t="str">
        <f t="shared" si="1"/>
        <v>부족</v>
      </c>
      <c r="O33" s="3">
        <v>34021</v>
      </c>
      <c r="P33" s="3">
        <v>27703</v>
      </c>
      <c r="Q33" s="3">
        <v>24095</v>
      </c>
      <c r="R33" s="12">
        <f t="shared" si="2"/>
        <v>18</v>
      </c>
      <c r="S33" s="6" t="s">
        <v>51</v>
      </c>
      <c r="T33" s="18">
        <v>46176</v>
      </c>
      <c r="U33" s="7" t="s">
        <v>31</v>
      </c>
    </row>
    <row r="34" spans="1:21">
      <c r="A34" s="5" t="s">
        <v>131</v>
      </c>
      <c r="B34" s="6" t="s">
        <v>132</v>
      </c>
      <c r="C34" s="6" t="s">
        <v>175</v>
      </c>
      <c r="D34" s="6" t="s">
        <v>133</v>
      </c>
      <c r="E34" s="6" t="s">
        <v>36</v>
      </c>
      <c r="F34" s="6" t="s">
        <v>29</v>
      </c>
      <c r="G34" s="12">
        <v>23</v>
      </c>
      <c r="H34" s="12">
        <v>31</v>
      </c>
      <c r="I34" s="12">
        <v>58</v>
      </c>
      <c r="J34" s="12">
        <v>29</v>
      </c>
      <c r="K34" s="12">
        <v>46130</v>
      </c>
      <c r="L34" s="12">
        <v>41450</v>
      </c>
      <c r="M34" s="15">
        <f t="shared" si="0"/>
        <v>0.11290711700844391</v>
      </c>
      <c r="N34" s="6" t="str">
        <f t="shared" si="1"/>
        <v>부족</v>
      </c>
      <c r="O34" s="3">
        <v>38206</v>
      </c>
      <c r="P34" s="3">
        <v>22538</v>
      </c>
      <c r="Q34" s="3">
        <v>31280</v>
      </c>
      <c r="R34" s="12">
        <f t="shared" si="2"/>
        <v>24</v>
      </c>
      <c r="S34" s="6" t="s">
        <v>56</v>
      </c>
      <c r="T34" s="18">
        <v>46148</v>
      </c>
      <c r="U34" s="7" t="s">
        <v>31</v>
      </c>
    </row>
    <row r="35" spans="1:21">
      <c r="A35" s="5" t="s">
        <v>134</v>
      </c>
      <c r="B35" s="6" t="s">
        <v>135</v>
      </c>
      <c r="C35" s="6" t="s">
        <v>34</v>
      </c>
      <c r="D35" s="6" t="s">
        <v>136</v>
      </c>
      <c r="E35" s="6" t="s">
        <v>60</v>
      </c>
      <c r="F35" s="6" t="s">
        <v>37</v>
      </c>
      <c r="G35" s="12">
        <v>57</v>
      </c>
      <c r="H35" s="12">
        <v>76</v>
      </c>
      <c r="I35" s="12">
        <v>132</v>
      </c>
      <c r="J35" s="12">
        <v>100</v>
      </c>
      <c r="K35" s="12">
        <v>75360</v>
      </c>
      <c r="L35" s="12">
        <v>69870</v>
      </c>
      <c r="M35" s="15">
        <f t="shared" si="0"/>
        <v>7.8574495491627303E-2</v>
      </c>
      <c r="N35" s="6" t="str">
        <f t="shared" si="1"/>
        <v>부족</v>
      </c>
      <c r="O35" s="3">
        <v>36211</v>
      </c>
      <c r="P35" s="3">
        <v>25934</v>
      </c>
      <c r="Q35" s="3">
        <v>29451</v>
      </c>
      <c r="R35" s="12">
        <f t="shared" si="2"/>
        <v>17</v>
      </c>
      <c r="S35" s="6" t="s">
        <v>25</v>
      </c>
      <c r="T35" s="18">
        <v>46145</v>
      </c>
      <c r="U35" s="7" t="s">
        <v>31</v>
      </c>
    </row>
    <row r="36" spans="1:21">
      <c r="A36" s="5" t="s">
        <v>137</v>
      </c>
      <c r="B36" s="6" t="s">
        <v>138</v>
      </c>
      <c r="C36" s="6" t="s">
        <v>41</v>
      </c>
      <c r="D36" s="6" t="s">
        <v>139</v>
      </c>
      <c r="E36" s="6" t="s">
        <v>49</v>
      </c>
      <c r="F36" s="6" t="s">
        <v>43</v>
      </c>
      <c r="G36" s="12">
        <v>66</v>
      </c>
      <c r="H36" s="12">
        <v>32</v>
      </c>
      <c r="I36" s="12">
        <v>68</v>
      </c>
      <c r="J36" s="12">
        <v>40</v>
      </c>
      <c r="K36" s="12">
        <v>77580</v>
      </c>
      <c r="L36" s="12">
        <v>67730</v>
      </c>
      <c r="M36" s="15">
        <f t="shared" si="0"/>
        <v>0.14543038535360991</v>
      </c>
      <c r="N36" s="6" t="str">
        <f t="shared" si="1"/>
        <v>정상</v>
      </c>
      <c r="O36" s="3">
        <v>30208</v>
      </c>
      <c r="P36" s="3">
        <v>27015</v>
      </c>
      <c r="Q36" s="3">
        <v>27498</v>
      </c>
      <c r="R36" s="12">
        <f t="shared" si="2"/>
        <v>50</v>
      </c>
      <c r="S36" s="6" t="s">
        <v>30</v>
      </c>
      <c r="T36" s="18">
        <v>46157</v>
      </c>
      <c r="U36" s="7"/>
    </row>
    <row r="37" spans="1:21">
      <c r="A37" s="5" t="s">
        <v>140</v>
      </c>
      <c r="B37" s="6" t="s">
        <v>141</v>
      </c>
      <c r="C37" s="6" t="s">
        <v>47</v>
      </c>
      <c r="D37" s="6" t="s">
        <v>142</v>
      </c>
      <c r="E37" s="6" t="s">
        <v>36</v>
      </c>
      <c r="F37" s="6" t="s">
        <v>50</v>
      </c>
      <c r="G37" s="12">
        <v>26</v>
      </c>
      <c r="H37" s="12">
        <v>83</v>
      </c>
      <c r="I37" s="12">
        <v>172</v>
      </c>
      <c r="J37" s="12">
        <v>87</v>
      </c>
      <c r="K37" s="12">
        <v>47100</v>
      </c>
      <c r="L37" s="12">
        <v>43300</v>
      </c>
      <c r="M37" s="15">
        <f t="shared" si="0"/>
        <v>8.7759815242494224E-2</v>
      </c>
      <c r="N37" s="6" t="str">
        <f t="shared" si="1"/>
        <v>부족</v>
      </c>
      <c r="O37" s="3">
        <v>36023</v>
      </c>
      <c r="P37" s="3">
        <v>27558</v>
      </c>
      <c r="Q37" s="3">
        <v>24633</v>
      </c>
      <c r="R37" s="12">
        <f t="shared" si="2"/>
        <v>9</v>
      </c>
      <c r="S37" s="6" t="s">
        <v>38</v>
      </c>
      <c r="T37" s="18">
        <v>46134</v>
      </c>
      <c r="U37" s="7" t="s">
        <v>31</v>
      </c>
    </row>
    <row r="38" spans="1:21">
      <c r="A38" s="5" t="s">
        <v>143</v>
      </c>
      <c r="B38" s="6" t="s">
        <v>144</v>
      </c>
      <c r="C38" s="6" t="s">
        <v>175</v>
      </c>
      <c r="D38" s="6" t="s">
        <v>145</v>
      </c>
      <c r="E38" s="6" t="s">
        <v>68</v>
      </c>
      <c r="F38" s="6" t="s">
        <v>55</v>
      </c>
      <c r="G38" s="12">
        <v>42</v>
      </c>
      <c r="H38" s="12">
        <v>49</v>
      </c>
      <c r="I38" s="12">
        <v>120</v>
      </c>
      <c r="J38" s="12">
        <v>71</v>
      </c>
      <c r="K38" s="12">
        <v>90500</v>
      </c>
      <c r="L38" s="12">
        <v>83250</v>
      </c>
      <c r="M38" s="15">
        <f t="shared" si="0"/>
        <v>8.7087087087087081E-2</v>
      </c>
      <c r="N38" s="6" t="str">
        <f t="shared" si="1"/>
        <v>부족</v>
      </c>
      <c r="O38" s="3">
        <v>39444</v>
      </c>
      <c r="P38" s="3">
        <v>21944</v>
      </c>
      <c r="Q38" s="3">
        <v>24746</v>
      </c>
      <c r="R38" s="12">
        <f t="shared" si="2"/>
        <v>18</v>
      </c>
      <c r="S38" s="6" t="s">
        <v>44</v>
      </c>
      <c r="T38" s="18">
        <v>46147</v>
      </c>
      <c r="U38" s="7" t="s">
        <v>31</v>
      </c>
    </row>
    <row r="39" spans="1:21">
      <c r="A39" s="5" t="s">
        <v>146</v>
      </c>
      <c r="B39" s="6" t="s">
        <v>147</v>
      </c>
      <c r="C39" s="6" t="s">
        <v>175</v>
      </c>
      <c r="D39" s="6" t="s">
        <v>148</v>
      </c>
      <c r="E39" s="6" t="s">
        <v>36</v>
      </c>
      <c r="F39" s="6" t="s">
        <v>61</v>
      </c>
      <c r="G39" s="12">
        <v>136</v>
      </c>
      <c r="H39" s="12">
        <v>60</v>
      </c>
      <c r="I39" s="12">
        <v>115</v>
      </c>
      <c r="J39" s="12">
        <v>69</v>
      </c>
      <c r="K39" s="12">
        <v>23750</v>
      </c>
      <c r="L39" s="12">
        <v>24230</v>
      </c>
      <c r="M39" s="15">
        <f t="shared" si="0"/>
        <v>-1.981015270326042E-2</v>
      </c>
      <c r="N39" s="6" t="str">
        <f t="shared" si="1"/>
        <v>정상</v>
      </c>
      <c r="O39" s="3">
        <v>32109</v>
      </c>
      <c r="P39" s="3">
        <v>20924</v>
      </c>
      <c r="Q39" s="3">
        <v>34878</v>
      </c>
      <c r="R39" s="12">
        <f t="shared" si="2"/>
        <v>59</v>
      </c>
      <c r="S39" s="6" t="s">
        <v>51</v>
      </c>
      <c r="T39" s="18">
        <v>46171</v>
      </c>
      <c r="U39" s="7"/>
    </row>
    <row r="40" spans="1:21">
      <c r="A40" s="5" t="s">
        <v>149</v>
      </c>
      <c r="B40" s="6" t="s">
        <v>150</v>
      </c>
      <c r="C40" s="6" t="s">
        <v>175</v>
      </c>
      <c r="D40" s="6" t="s">
        <v>151</v>
      </c>
      <c r="E40" s="6" t="s">
        <v>49</v>
      </c>
      <c r="F40" s="6" t="s">
        <v>24</v>
      </c>
      <c r="G40" s="12">
        <v>29</v>
      </c>
      <c r="H40" s="12">
        <v>48</v>
      </c>
      <c r="I40" s="12">
        <v>102</v>
      </c>
      <c r="J40" s="12">
        <v>49</v>
      </c>
      <c r="K40" s="12">
        <v>74040</v>
      </c>
      <c r="L40" s="12">
        <v>68770</v>
      </c>
      <c r="M40" s="15">
        <f t="shared" si="0"/>
        <v>7.6632252435655079E-2</v>
      </c>
      <c r="N40" s="6" t="str">
        <f t="shared" si="1"/>
        <v>부족</v>
      </c>
      <c r="O40" s="3">
        <v>36163</v>
      </c>
      <c r="P40" s="3">
        <v>23519</v>
      </c>
      <c r="Q40" s="3">
        <v>30627</v>
      </c>
      <c r="R40" s="12">
        <f t="shared" si="2"/>
        <v>18</v>
      </c>
      <c r="S40" s="6" t="s">
        <v>56</v>
      </c>
      <c r="T40" s="18">
        <v>46197</v>
      </c>
      <c r="U40" s="7" t="s">
        <v>31</v>
      </c>
    </row>
    <row r="41" spans="1:21">
      <c r="A41" s="5" t="s">
        <v>152</v>
      </c>
      <c r="B41" s="6" t="s">
        <v>153</v>
      </c>
      <c r="C41" s="6" t="s">
        <v>175</v>
      </c>
      <c r="D41" s="6" t="s">
        <v>154</v>
      </c>
      <c r="E41" s="6" t="s">
        <v>23</v>
      </c>
      <c r="F41" s="6" t="s">
        <v>29</v>
      </c>
      <c r="G41" s="12">
        <v>69</v>
      </c>
      <c r="H41" s="12">
        <v>29</v>
      </c>
      <c r="I41" s="12">
        <v>68</v>
      </c>
      <c r="J41" s="12">
        <v>30</v>
      </c>
      <c r="K41" s="12">
        <v>50200</v>
      </c>
      <c r="L41" s="12">
        <v>50330</v>
      </c>
      <c r="M41" s="15">
        <f t="shared" si="0"/>
        <v>-2.5829525134114842E-3</v>
      </c>
      <c r="N41" s="6" t="str">
        <f t="shared" si="1"/>
        <v>정상</v>
      </c>
      <c r="O41" s="3">
        <v>32187</v>
      </c>
      <c r="P41" s="3">
        <v>28811</v>
      </c>
      <c r="Q41" s="3">
        <v>25448</v>
      </c>
      <c r="R41" s="12">
        <f t="shared" si="2"/>
        <v>69</v>
      </c>
      <c r="S41" s="6" t="s">
        <v>25</v>
      </c>
      <c r="T41" s="18">
        <v>46158</v>
      </c>
      <c r="U41" s="7"/>
    </row>
    <row r="42" spans="1:21">
      <c r="A42" s="5" t="s">
        <v>155</v>
      </c>
      <c r="B42" s="6" t="s">
        <v>156</v>
      </c>
      <c r="C42" s="6" t="s">
        <v>34</v>
      </c>
      <c r="D42" s="6" t="s">
        <v>157</v>
      </c>
      <c r="E42" s="6" t="s">
        <v>78</v>
      </c>
      <c r="F42" s="6" t="s">
        <v>37</v>
      </c>
      <c r="G42" s="12">
        <v>52</v>
      </c>
      <c r="H42" s="12">
        <v>84</v>
      </c>
      <c r="I42" s="12">
        <v>153</v>
      </c>
      <c r="J42" s="12">
        <v>140</v>
      </c>
      <c r="K42" s="12">
        <v>74300</v>
      </c>
      <c r="L42" s="12">
        <v>66560</v>
      </c>
      <c r="M42" s="15">
        <f t="shared" si="0"/>
        <v>0.1162860576923077</v>
      </c>
      <c r="N42" s="6" t="str">
        <f t="shared" si="1"/>
        <v>부족</v>
      </c>
      <c r="O42" s="3">
        <v>35914</v>
      </c>
      <c r="P42" s="3">
        <v>29677</v>
      </c>
      <c r="Q42" s="3">
        <v>26399</v>
      </c>
      <c r="R42" s="12">
        <f t="shared" si="2"/>
        <v>11</v>
      </c>
      <c r="S42" s="6" t="s">
        <v>30</v>
      </c>
      <c r="T42" s="18">
        <v>46146</v>
      </c>
      <c r="U42" s="7" t="s">
        <v>31</v>
      </c>
    </row>
    <row r="43" spans="1:21">
      <c r="A43" s="5" t="s">
        <v>158</v>
      </c>
      <c r="B43" s="6" t="s">
        <v>159</v>
      </c>
      <c r="C43" s="6" t="s">
        <v>41</v>
      </c>
      <c r="D43" s="6" t="s">
        <v>160</v>
      </c>
      <c r="E43" s="6" t="s">
        <v>78</v>
      </c>
      <c r="F43" s="6" t="s">
        <v>43</v>
      </c>
      <c r="G43" s="12">
        <v>18</v>
      </c>
      <c r="H43" s="12">
        <v>53</v>
      </c>
      <c r="I43" s="12">
        <v>108</v>
      </c>
      <c r="J43" s="12">
        <v>72</v>
      </c>
      <c r="K43" s="12">
        <v>15640</v>
      </c>
      <c r="L43" s="12">
        <v>15180</v>
      </c>
      <c r="M43" s="15">
        <f t="shared" si="0"/>
        <v>3.0303030303030304E-2</v>
      </c>
      <c r="N43" s="6" t="str">
        <f t="shared" si="1"/>
        <v>부족</v>
      </c>
      <c r="O43" s="3">
        <v>31038</v>
      </c>
      <c r="P43" s="3">
        <v>21591</v>
      </c>
      <c r="Q43" s="3">
        <v>24320</v>
      </c>
      <c r="R43" s="12">
        <f t="shared" si="2"/>
        <v>8</v>
      </c>
      <c r="S43" s="6" t="s">
        <v>38</v>
      </c>
      <c r="T43" s="18">
        <v>46168</v>
      </c>
      <c r="U43" s="7" t="s">
        <v>31</v>
      </c>
    </row>
    <row r="44" spans="1:21">
      <c r="A44" s="8" t="s">
        <v>161</v>
      </c>
      <c r="B44" s="9" t="s">
        <v>162</v>
      </c>
      <c r="C44" s="9" t="s">
        <v>47</v>
      </c>
      <c r="D44" s="9" t="s">
        <v>163</v>
      </c>
      <c r="E44" s="9" t="s">
        <v>68</v>
      </c>
      <c r="F44" s="9" t="s">
        <v>50</v>
      </c>
      <c r="G44" s="13">
        <v>37</v>
      </c>
      <c r="H44" s="13">
        <v>16</v>
      </c>
      <c r="I44" s="13">
        <v>28</v>
      </c>
      <c r="J44" s="13">
        <v>17</v>
      </c>
      <c r="K44" s="13">
        <v>77340</v>
      </c>
      <c r="L44" s="13">
        <v>71120</v>
      </c>
      <c r="M44" s="16">
        <f t="shared" si="0"/>
        <v>8.7457817772778404E-2</v>
      </c>
      <c r="N44" s="9" t="str">
        <f t="shared" si="1"/>
        <v>정상</v>
      </c>
      <c r="O44" s="3">
        <v>38958</v>
      </c>
      <c r="P44" s="3">
        <v>23168</v>
      </c>
      <c r="Q44" s="3">
        <v>34480</v>
      </c>
      <c r="R44" s="13">
        <f t="shared" si="2"/>
        <v>65</v>
      </c>
      <c r="S44" s="9" t="s">
        <v>44</v>
      </c>
      <c r="T44" s="19">
        <v>46144</v>
      </c>
      <c r="U44" s="10"/>
    </row>
  </sheetData>
  <mergeCells count="2">
    <mergeCell ref="A1:U1"/>
    <mergeCell ref="A2:U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workbookViewId="0"/>
  </sheetViews>
  <sheetFormatPr defaultRowHeight="14.25"/>
  <cols>
    <col min="1" max="3" width="9.125" customWidth="1"/>
    <col min="4" max="8" width="83.875" customWidth="1"/>
  </cols>
  <sheetData>
    <row r="1" spans="1:8" ht="20.25">
      <c r="A1" s="25" t="s">
        <v>164</v>
      </c>
      <c r="B1" s="25" t="s">
        <v>164</v>
      </c>
      <c r="C1" s="25" t="s">
        <v>164</v>
      </c>
      <c r="D1" s="25" t="s">
        <v>164</v>
      </c>
      <c r="E1" s="25" t="s">
        <v>164</v>
      </c>
      <c r="F1" s="25" t="s">
        <v>164</v>
      </c>
      <c r="G1" s="25" t="s">
        <v>164</v>
      </c>
      <c r="H1" s="25" t="s">
        <v>164</v>
      </c>
    </row>
    <row r="3" spans="1:8" ht="15">
      <c r="A3" s="1" t="s">
        <v>165</v>
      </c>
      <c r="B3" s="1" t="s">
        <v>166</v>
      </c>
      <c r="D3" s="27" t="s">
        <v>167</v>
      </c>
      <c r="E3" s="27"/>
      <c r="F3" s="27"/>
      <c r="G3" s="27"/>
      <c r="H3" s="27"/>
    </row>
    <row r="4" spans="1:8">
      <c r="A4" s="2" t="s">
        <v>168</v>
      </c>
      <c r="B4" s="20">
        <f>COUNTA(재고현황!A5:A44)</f>
        <v>40</v>
      </c>
      <c r="D4" s="28" t="s">
        <v>169</v>
      </c>
      <c r="E4" s="28" t="s">
        <v>169</v>
      </c>
      <c r="F4" s="28" t="s">
        <v>169</v>
      </c>
      <c r="G4" s="28" t="s">
        <v>169</v>
      </c>
      <c r="H4" s="28" t="s">
        <v>169</v>
      </c>
    </row>
    <row r="5" spans="1:8">
      <c r="A5" s="5" t="s">
        <v>170</v>
      </c>
      <c r="B5" s="21">
        <f>SUM(재고현황!G5:G44)</f>
        <v>2548</v>
      </c>
      <c r="D5" s="28" t="s">
        <v>169</v>
      </c>
      <c r="E5" s="28" t="s">
        <v>169</v>
      </c>
      <c r="F5" s="28" t="s">
        <v>169</v>
      </c>
      <c r="G5" s="28" t="s">
        <v>169</v>
      </c>
      <c r="H5" s="28" t="s">
        <v>169</v>
      </c>
    </row>
    <row r="6" spans="1:8">
      <c r="A6" s="5" t="s">
        <v>171</v>
      </c>
      <c r="B6" s="21">
        <f>COUNTIF(재고현황!N5:N44,"부족")</f>
        <v>20</v>
      </c>
      <c r="D6" s="28" t="s">
        <v>169</v>
      </c>
      <c r="E6" s="28" t="s">
        <v>169</v>
      </c>
      <c r="F6" s="28" t="s">
        <v>169</v>
      </c>
      <c r="G6" s="28" t="s">
        <v>169</v>
      </c>
      <c r="H6" s="28" t="s">
        <v>169</v>
      </c>
    </row>
    <row r="7" spans="1:8">
      <c r="A7" s="5" t="s">
        <v>172</v>
      </c>
      <c r="B7" s="21">
        <f>COUNTIF(재고현황!N5:N44,"주의")</f>
        <v>2</v>
      </c>
      <c r="D7" s="28" t="s">
        <v>169</v>
      </c>
      <c r="E7" s="28" t="s">
        <v>169</v>
      </c>
      <c r="F7" s="28" t="s">
        <v>169</v>
      </c>
      <c r="G7" s="28" t="s">
        <v>169</v>
      </c>
      <c r="H7" s="28" t="s">
        <v>169</v>
      </c>
    </row>
    <row r="8" spans="1:8">
      <c r="A8" s="5" t="s">
        <v>173</v>
      </c>
      <c r="B8" s="22">
        <f>AVERAGE(재고현황!M5:M44)</f>
        <v>6.0699845550770168E-2</v>
      </c>
      <c r="D8" s="28" t="s">
        <v>169</v>
      </c>
      <c r="E8" s="28" t="s">
        <v>169</v>
      </c>
      <c r="F8" s="28" t="s">
        <v>169</v>
      </c>
      <c r="G8" s="28" t="s">
        <v>169</v>
      </c>
      <c r="H8" s="28" t="s">
        <v>169</v>
      </c>
    </row>
    <row r="9" spans="1:8">
      <c r="A9" s="8" t="s">
        <v>174</v>
      </c>
      <c r="B9" s="23">
        <f>COUNTIF(재고현황!M5:M44,"&gt;=0.1")</f>
        <v>13</v>
      </c>
    </row>
  </sheetData>
  <mergeCells count="3">
    <mergeCell ref="A1:H1"/>
    <mergeCell ref="D3:H3"/>
    <mergeCell ref="D4:H8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재고현황</vt:lpstr>
      <vt:lpstr>대시보드_지표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RFM-Lab10</cp:lastModifiedBy>
  <dcterms:modified xsi:type="dcterms:W3CDTF">2026-07-03T01:49:10Z</dcterms:modified>
</cp:coreProperties>
</file>